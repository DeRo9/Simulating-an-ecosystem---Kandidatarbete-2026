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cl\Downloads\"/>
    </mc:Choice>
  </mc:AlternateContent>
  <xr:revisionPtr revIDLastSave="0" documentId="8_{19E1C633-BF2C-452B-B831-CE12EB62CA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ad1" sheetId="1" r:id="rId1"/>
    <sheet name="Blad2" sheetId="2" r:id="rId2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V9" i="2" l="1"/>
  <c r="JV8" i="2"/>
  <c r="JV7" i="2"/>
  <c r="JR9" i="2"/>
  <c r="JR8" i="2"/>
  <c r="JR7" i="2"/>
  <c r="JN9" i="2"/>
  <c r="JN8" i="2"/>
  <c r="JN7" i="2"/>
  <c r="JJ9" i="2"/>
  <c r="JJ8" i="2"/>
  <c r="JJ7" i="2"/>
  <c r="JF9" i="2"/>
  <c r="JF8" i="2"/>
  <c r="JF7" i="2"/>
  <c r="JB9" i="2"/>
  <c r="JB8" i="2"/>
  <c r="JB7" i="2"/>
  <c r="IX9" i="2"/>
  <c r="IX8" i="2"/>
  <c r="IX7" i="2"/>
  <c r="IT9" i="2"/>
  <c r="IT8" i="2"/>
  <c r="IT7" i="2"/>
  <c r="IP9" i="2"/>
  <c r="IP8" i="2"/>
  <c r="IP7" i="2"/>
  <c r="IL9" i="2"/>
  <c r="IL8" i="2"/>
  <c r="IL7" i="2"/>
  <c r="IH9" i="2"/>
  <c r="IH8" i="2"/>
  <c r="IH7" i="2"/>
  <c r="ID9" i="2"/>
  <c r="ID8" i="2"/>
  <c r="ID7" i="2"/>
  <c r="HZ9" i="2"/>
  <c r="HZ8" i="2"/>
  <c r="HZ7" i="2"/>
  <c r="HV9" i="2"/>
  <c r="HV8" i="2"/>
  <c r="HV7" i="2"/>
  <c r="HR9" i="2"/>
  <c r="HR8" i="2"/>
  <c r="HR7" i="2"/>
  <c r="HN9" i="2"/>
  <c r="HN8" i="2"/>
  <c r="HN7" i="2"/>
  <c r="HJ9" i="2"/>
  <c r="HJ8" i="2"/>
  <c r="HJ7" i="2"/>
  <c r="HF9" i="2"/>
  <c r="HF8" i="2"/>
  <c r="HF7" i="2"/>
  <c r="HB9" i="2"/>
  <c r="HB8" i="2"/>
  <c r="HB7" i="2"/>
  <c r="GX9" i="2"/>
  <c r="GX8" i="2"/>
  <c r="GX7" i="2"/>
  <c r="GT9" i="2"/>
  <c r="GT8" i="2"/>
  <c r="GT7" i="2"/>
  <c r="GP9" i="2"/>
  <c r="GP8" i="2"/>
  <c r="GP7" i="2"/>
  <c r="GL9" i="2"/>
  <c r="GL8" i="2"/>
  <c r="GL7" i="2"/>
  <c r="GH9" i="2"/>
  <c r="GH8" i="2"/>
  <c r="GH7" i="2"/>
  <c r="GD9" i="2"/>
  <c r="GD8" i="2"/>
  <c r="GD7" i="2"/>
  <c r="FZ9" i="2"/>
  <c r="FZ8" i="2"/>
  <c r="FZ7" i="2"/>
  <c r="FV9" i="2"/>
  <c r="FV8" i="2"/>
  <c r="FV7" i="2"/>
  <c r="FR9" i="2"/>
  <c r="FR8" i="2"/>
  <c r="FR7" i="2"/>
  <c r="FN9" i="2"/>
  <c r="FN8" i="2"/>
  <c r="FN7" i="2"/>
  <c r="FJ9" i="2"/>
  <c r="FJ8" i="2"/>
  <c r="FJ7" i="2"/>
  <c r="FF9" i="2"/>
  <c r="FF8" i="2"/>
  <c r="FF7" i="2"/>
  <c r="FB9" i="2"/>
  <c r="FB8" i="2"/>
  <c r="FB7" i="2"/>
  <c r="EX9" i="2"/>
  <c r="EX8" i="2"/>
  <c r="EX7" i="2"/>
  <c r="ET9" i="2"/>
  <c r="ET8" i="2"/>
  <c r="ET7" i="2"/>
  <c r="EP9" i="2"/>
  <c r="EP8" i="2"/>
  <c r="EP7" i="2"/>
  <c r="EL9" i="2"/>
  <c r="EL8" i="2"/>
  <c r="EL7" i="2"/>
  <c r="EH9" i="2"/>
  <c r="EH8" i="2"/>
  <c r="EH7" i="2"/>
  <c r="ED9" i="2"/>
  <c r="ED8" i="2"/>
  <c r="ED7" i="2"/>
  <c r="DZ9" i="2"/>
  <c r="DZ8" i="2"/>
  <c r="DZ7" i="2"/>
  <c r="DV9" i="2"/>
  <c r="DV8" i="2"/>
  <c r="DV7" i="2"/>
  <c r="DR9" i="2"/>
  <c r="DR8" i="2"/>
  <c r="DR7" i="2"/>
  <c r="DN9" i="2"/>
  <c r="DN8" i="2"/>
  <c r="DN7" i="2"/>
  <c r="DJ9" i="2"/>
  <c r="DJ8" i="2"/>
  <c r="DJ7" i="2"/>
  <c r="DF9" i="2"/>
  <c r="DF8" i="2"/>
  <c r="DF7" i="2"/>
  <c r="DB9" i="2"/>
  <c r="DB8" i="2"/>
  <c r="DB7" i="2"/>
  <c r="CX9" i="2"/>
  <c r="CX8" i="2"/>
  <c r="CX7" i="2"/>
  <c r="CT9" i="2"/>
  <c r="CT8" i="2"/>
  <c r="CT7" i="2"/>
  <c r="CP9" i="2"/>
  <c r="CP8" i="2"/>
  <c r="CP7" i="2"/>
  <c r="CL9" i="2"/>
  <c r="CL8" i="2"/>
  <c r="CL7" i="2"/>
  <c r="CH9" i="2"/>
  <c r="CH8" i="2"/>
  <c r="CH7" i="2"/>
  <c r="CD9" i="2"/>
  <c r="CD8" i="2"/>
  <c r="CD7" i="2"/>
  <c r="BZ9" i="2"/>
  <c r="BZ8" i="2"/>
  <c r="BZ7" i="2"/>
  <c r="BV9" i="2"/>
  <c r="BV8" i="2"/>
  <c r="BV7" i="2"/>
  <c r="BR9" i="2"/>
  <c r="BR8" i="2"/>
  <c r="BR7" i="2"/>
  <c r="BN9" i="2"/>
  <c r="BN8" i="2"/>
  <c r="BN7" i="2"/>
  <c r="BJ9" i="2"/>
  <c r="BJ8" i="2"/>
  <c r="BJ7" i="2"/>
  <c r="BF9" i="2"/>
  <c r="BF8" i="2"/>
  <c r="BF7" i="2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D36" i="1"/>
  <c r="E36" i="1"/>
  <c r="F36" i="1"/>
  <c r="G36" i="1"/>
  <c r="H36" i="1"/>
  <c r="C37" i="1"/>
  <c r="C38" i="1"/>
  <c r="C39" i="1"/>
  <c r="C40" i="1"/>
  <c r="BB9" i="2"/>
  <c r="BB8" i="2"/>
  <c r="BB7" i="2"/>
  <c r="AX9" i="2"/>
  <c r="AX8" i="2"/>
  <c r="AX7" i="2"/>
  <c r="AT9" i="2"/>
  <c r="AT8" i="2"/>
  <c r="AT7" i="2"/>
  <c r="AP9" i="2"/>
  <c r="AP8" i="2"/>
  <c r="AP7" i="2"/>
  <c r="AL9" i="2"/>
  <c r="AL8" i="2"/>
  <c r="AL7" i="2"/>
  <c r="AH9" i="2"/>
  <c r="AH8" i="2"/>
  <c r="AH7" i="2"/>
  <c r="AD9" i="2"/>
  <c r="AD8" i="2"/>
  <c r="AD7" i="2"/>
  <c r="Z9" i="2"/>
  <c r="Z8" i="2"/>
  <c r="Z7" i="2"/>
  <c r="V9" i="2"/>
  <c r="V8" i="2"/>
  <c r="V7" i="2"/>
  <c r="R9" i="2"/>
  <c r="R8" i="2"/>
  <c r="R7" i="2"/>
  <c r="N9" i="2"/>
  <c r="N8" i="2"/>
  <c r="N7" i="2"/>
  <c r="D36" i="2"/>
  <c r="C36" i="1"/>
  <c r="J9" i="2"/>
  <c r="J8" i="2"/>
  <c r="J7" i="2"/>
  <c r="B8" i="2"/>
  <c r="B9" i="2"/>
  <c r="B7" i="2"/>
</calcChain>
</file>

<file path=xl/sharedStrings.xml><?xml version="1.0" encoding="utf-8"?>
<sst xmlns="http://schemas.openxmlformats.org/spreadsheetml/2006/main" count="718" uniqueCount="91">
  <si>
    <t>metric</t>
  </si>
  <si>
    <t>No bear mean</t>
  </si>
  <si>
    <t>Average bear mean</t>
  </si>
  <si>
    <t>many bear mean</t>
  </si>
  <si>
    <t>No bear SD</t>
  </si>
  <si>
    <t>Average bear SD</t>
  </si>
  <si>
    <t>many bear SD</t>
  </si>
  <si>
    <t>H_statistic</t>
  </si>
  <si>
    <t>p_value</t>
  </si>
  <si>
    <t>significant (p&lt;0,05)</t>
  </si>
  <si>
    <t>BearFinalPopulation</t>
  </si>
  <si>
    <t>True</t>
  </si>
  <si>
    <t>BearBirths</t>
  </si>
  <si>
    <t>BearDeaths</t>
  </si>
  <si>
    <t>BearStarvation</t>
  </si>
  <si>
    <t>BearCarcassCount</t>
  </si>
  <si>
    <t>BearPlantMeals</t>
  </si>
  <si>
    <t>BearAvgHunger</t>
  </si>
  <si>
    <t>BearHuntAttempts</t>
  </si>
  <si>
    <t>BearSuccessfulHunts</t>
  </si>
  <si>
    <t>WolfFleeingTime</t>
  </si>
  <si>
    <t>BearHuntingTime</t>
  </si>
  <si>
    <t>BearAvgThirst</t>
  </si>
  <si>
    <t>BearSearchFoodTime</t>
  </si>
  <si>
    <t>BearHuntFailures</t>
  </si>
  <si>
    <t>BearAvgStamina</t>
  </si>
  <si>
    <t>BearDrinkTime</t>
  </si>
  <si>
    <t>BearInterference</t>
  </si>
  <si>
    <t>WolfPredation</t>
  </si>
  <si>
    <t>BearEatTime</t>
  </si>
  <si>
    <t>BearSearchWaterTime</t>
  </si>
  <si>
    <t>BearAvgLifespan</t>
  </si>
  <si>
    <t>MooseSearchFoodTime</t>
  </si>
  <si>
    <t>MooseAvgLifespan</t>
  </si>
  <si>
    <t>WolfDefendTime</t>
  </si>
  <si>
    <t>MooseEatTime</t>
  </si>
  <si>
    <t>MoosePlantMeals</t>
  </si>
  <si>
    <t>MooseStarvation</t>
  </si>
  <si>
    <t>MooseIdleTime</t>
  </si>
  <si>
    <t>WolfIdleTime</t>
  </si>
  <si>
    <t>BearMatingTime</t>
  </si>
  <si>
    <t>MooseDrinkTime</t>
  </si>
  <si>
    <t>BearIdleTime</t>
  </si>
  <si>
    <t>BearWanderTime</t>
  </si>
  <si>
    <t>MooseBirths</t>
  </si>
  <si>
    <t>MooseFinalPopulation</t>
  </si>
  <si>
    <t>MooseFleeingTime</t>
  </si>
  <si>
    <t>MooseSearchWaterTime</t>
  </si>
  <si>
    <t>WolfSuccessfulHunts</t>
  </si>
  <si>
    <t>WolfFinalPopulation</t>
  </si>
  <si>
    <t>MooseAvgStamina</t>
  </si>
  <si>
    <t>PackHuntSuccess</t>
  </si>
  <si>
    <t>MooseSuccessfulEscape</t>
  </si>
  <si>
    <t>WolfStarvation</t>
  </si>
  <si>
    <t>PackHuntAttempts</t>
  </si>
  <si>
    <t>WolfCarcassCount</t>
  </si>
  <si>
    <t>MooseMatingTime</t>
  </si>
  <si>
    <t>MoosePredation</t>
  </si>
  <si>
    <t>WolfBirths</t>
  </si>
  <si>
    <t>MooseAvgHunger</t>
  </si>
  <si>
    <t>WolfHuntAttempts</t>
  </si>
  <si>
    <t>WolfMatingTime</t>
  </si>
  <si>
    <t>MooseWanderTime</t>
  </si>
  <si>
    <t>PacksFormed</t>
  </si>
  <si>
    <t>WolfAvgStamina</t>
  </si>
  <si>
    <t>False</t>
  </si>
  <si>
    <t>MooseAvgThirst</t>
  </si>
  <si>
    <t>WolfAvgThirst</t>
  </si>
  <si>
    <t>WolfDeaths</t>
  </si>
  <si>
    <t>WolfWanderTime</t>
  </si>
  <si>
    <t>WolfAvgHunger</t>
  </si>
  <si>
    <t>MooseDefendTime</t>
  </si>
  <si>
    <t>WolfHuntingTime</t>
  </si>
  <si>
    <t>MooseDeaths</t>
  </si>
  <si>
    <t>WolfEatTime</t>
  </si>
  <si>
    <t>WolfHuntFailures</t>
  </si>
  <si>
    <t>WolfAvgLifespan</t>
  </si>
  <si>
    <t>WolfSearchWaterTime</t>
  </si>
  <si>
    <t>WolfSearchFoodTime</t>
  </si>
  <si>
    <t>WolfDrinkTime</t>
  </si>
  <si>
    <t>BearPredation</t>
  </si>
  <si>
    <t>BearFleeingTime</t>
  </si>
  <si>
    <t>BearDefendTime</t>
  </si>
  <si>
    <t>mean</t>
  </si>
  <si>
    <t>std</t>
  </si>
  <si>
    <t>min</t>
  </si>
  <si>
    <t>max</t>
  </si>
  <si>
    <t>scenario</t>
  </si>
  <si>
    <t>No Bears</t>
  </si>
  <si>
    <t>Average Bears</t>
  </si>
  <si>
    <t>Many Bears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</si>
</sst>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BBBEBF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/>
    <xf numFmtId="164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73"/>
  <sheetViews>
    <sheetView tabSelected="1" topLeftCell="A33" workbookViewId="0">
      <selection activeCell="K15" sqref="K15"/>
    </sheetView>
  </sheetViews>
  <sheetFormatPr defaultRowHeight="14.4" x14ac:dyDescent="0.3"/>
  <cols>
    <col min="2" max="2" width="36.5546875" style="6" bestFit="1" customWidth="1"/>
    <col min="3" max="3" width="13.33203125" bestFit="1" customWidth="1"/>
    <col min="4" max="4" width="36.5546875" bestFit="1" customWidth="1"/>
    <col min="5" max="5" width="15.5546875" bestFit="1" customWidth="1"/>
    <col min="6" max="6" width="10.5546875" bestFit="1" customWidth="1"/>
    <col min="7" max="7" width="18.88671875" bestFit="1" customWidth="1"/>
    <col min="8" max="8" width="19.88671875" bestFit="1" customWidth="1"/>
    <col min="10" max="10" width="11.5546875" customWidth="1"/>
    <col min="11" max="11" width="24" style="4" customWidth="1"/>
    <col min="12" max="12" width="18.5546875" customWidth="1"/>
  </cols>
  <sheetData>
    <row r="1" spans="2:12" x14ac:dyDescent="0.3">
      <c r="B1" s="5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7</v>
      </c>
      <c r="K1" s="4" t="s">
        <v>8</v>
      </c>
      <c r="L1" s="2" t="s">
        <v>9</v>
      </c>
    </row>
    <row r="2" spans="2:12" x14ac:dyDescent="0.3">
      <c r="B2" s="5" t="s">
        <v>10</v>
      </c>
      <c r="C2">
        <f>HLOOKUP(B2,Blad2!$1:$1048576,4,FALSE)</f>
        <v>0</v>
      </c>
      <c r="D2" s="2">
        <f>HLOOKUP(B2,Blad2!$1:$1048576,5,FALSE)</f>
        <v>13.6</v>
      </c>
      <c r="E2" s="2">
        <f>HLOOKUP(B2,Blad2!$1:$1048576,6,FALSE)</f>
        <v>36.6</v>
      </c>
      <c r="F2" s="2">
        <f>HLOOKUP(B2,Blad2!$1:$1048576,7,FALSE)</f>
        <v>0</v>
      </c>
      <c r="G2">
        <f>HLOOKUP(B2,Blad2!$1:$1048576,8,FALSE)</f>
        <v>6.7197883564555401</v>
      </c>
      <c r="H2">
        <f>HLOOKUP(B2,Blad2!$1:$1048576,9,FALSE)</f>
        <v>13.150411907363701</v>
      </c>
      <c r="J2">
        <v>25.9389</v>
      </c>
      <c r="K2" s="4">
        <v>1.9999999999999999E-6</v>
      </c>
      <c r="L2" t="s">
        <v>11</v>
      </c>
    </row>
    <row r="3" spans="2:12" x14ac:dyDescent="0.3">
      <c r="B3" s="5" t="s">
        <v>12</v>
      </c>
      <c r="C3">
        <f>HLOOKUP(B3,Blad2!$1:$1048576,4,FALSE)</f>
        <v>0</v>
      </c>
      <c r="D3" s="2">
        <f>HLOOKUP(B3,Blad2!$1:$1048576,5,FALSE)</f>
        <v>9.3000000000000007</v>
      </c>
      <c r="E3" s="2">
        <f>HLOOKUP(B3,Blad2!$1:$1048576,6,FALSE)</f>
        <v>40</v>
      </c>
      <c r="F3" s="2">
        <f>HLOOKUP(B3,Blad2!$1:$1048576,7,FALSE)</f>
        <v>0</v>
      </c>
      <c r="G3">
        <f>HLOOKUP(B3,Blad2!$1:$1048576,8,FALSE)</f>
        <v>6.4644326037858004</v>
      </c>
      <c r="H3">
        <f>HLOOKUP(B3,Blad2!$1:$1048576,9,FALSE)</f>
        <v>13.3583099396759</v>
      </c>
      <c r="J3">
        <v>25.851700000000001</v>
      </c>
      <c r="K3" s="4">
        <v>1.9999999999999999E-6</v>
      </c>
      <c r="L3" t="s">
        <v>11</v>
      </c>
    </row>
    <row r="4" spans="2:12" x14ac:dyDescent="0.3">
      <c r="B4" s="5" t="s">
        <v>13</v>
      </c>
      <c r="C4">
        <f>HLOOKUP(B4,Blad2!$1:$1048576,4,FALSE)</f>
        <v>0</v>
      </c>
      <c r="D4" s="2">
        <f>HLOOKUP(B4,Blad2!$1:$1048576,5,FALSE)</f>
        <v>7.8</v>
      </c>
      <c r="E4" s="2">
        <f>HLOOKUP(B4,Blad2!$1:$1048576,6,FALSE)</f>
        <v>30.7</v>
      </c>
      <c r="F4" s="2">
        <f>HLOOKUP(B4,Blad2!$1:$1048576,7,FALSE)</f>
        <v>0</v>
      </c>
      <c r="G4">
        <f>HLOOKUP(B4,Blad2!$1:$1048576,8,FALSE)</f>
        <v>3.1198290551460199</v>
      </c>
      <c r="H4">
        <f>HLOOKUP(B4,Blad2!$1:$1048576,9,FALSE)</f>
        <v>3.9454615277134102</v>
      </c>
      <c r="J4">
        <v>26.814599999999999</v>
      </c>
      <c r="K4" s="4">
        <v>1.9999999999999999E-6</v>
      </c>
      <c r="L4" t="s">
        <v>11</v>
      </c>
    </row>
    <row r="5" spans="2:12" x14ac:dyDescent="0.3">
      <c r="B5" s="5" t="s">
        <v>14</v>
      </c>
      <c r="C5">
        <f>HLOOKUP(B5,Blad2!$1:$1048576,4,FALSE)</f>
        <v>0</v>
      </c>
      <c r="D5" s="2">
        <f>HLOOKUP(B5,Blad2!$1:$1048576,5,FALSE)</f>
        <v>7.8</v>
      </c>
      <c r="E5" s="2">
        <f>HLOOKUP(B5,Blad2!$1:$1048576,6,FALSE)</f>
        <v>30.7</v>
      </c>
      <c r="F5" s="2">
        <f>HLOOKUP(B5,Blad2!$1:$1048576,7,FALSE)</f>
        <v>0</v>
      </c>
      <c r="G5">
        <f>HLOOKUP(B5,Blad2!$1:$1048576,8,FALSE)</f>
        <v>3.1198290551460199</v>
      </c>
      <c r="H5">
        <f>HLOOKUP(B5,Blad2!$1:$1048576,9,FALSE)</f>
        <v>3.9454615277134102</v>
      </c>
      <c r="J5">
        <v>26.814599999999999</v>
      </c>
      <c r="K5" s="4">
        <v>1.9999999999999999E-6</v>
      </c>
      <c r="L5" t="s">
        <v>11</v>
      </c>
    </row>
    <row r="6" spans="2:12" x14ac:dyDescent="0.3">
      <c r="B6" s="5" t="s">
        <v>15</v>
      </c>
      <c r="C6">
        <f>HLOOKUP(B6,Blad2!$1:$1048576,4,FALSE)</f>
        <v>0</v>
      </c>
      <c r="D6" s="2">
        <f>HLOOKUP(B6,Blad2!$1:$1048576,5,FALSE)</f>
        <v>84.7</v>
      </c>
      <c r="E6" s="2">
        <f>HLOOKUP(B6,Blad2!$1:$1048576,6,FALSE)</f>
        <v>144.5</v>
      </c>
      <c r="F6" s="2">
        <f>HLOOKUP(B6,Blad2!$1:$1048576,7,FALSE)</f>
        <v>0</v>
      </c>
      <c r="G6">
        <f>HLOOKUP(B6,Blad2!$1:$1048576,8,FALSE)</f>
        <v>21.2866677106169</v>
      </c>
      <c r="H6">
        <f>HLOOKUP(B6,Blad2!$1:$1048576,9,FALSE)</f>
        <v>21.485136981436899</v>
      </c>
      <c r="J6">
        <v>26.016300000000001</v>
      </c>
      <c r="K6" s="4">
        <v>1.9999999999999999E-6</v>
      </c>
      <c r="L6" t="s">
        <v>11</v>
      </c>
    </row>
    <row r="7" spans="2:12" x14ac:dyDescent="0.3">
      <c r="B7" s="5" t="s">
        <v>16</v>
      </c>
      <c r="C7">
        <f>HLOOKUP(B7,Blad2!$1:$1048576,4,FALSE)</f>
        <v>0</v>
      </c>
      <c r="D7" s="2">
        <f>HLOOKUP(B7,Blad2!$1:$1048576,5,FALSE)</f>
        <v>62.9</v>
      </c>
      <c r="E7" s="2">
        <f>HLOOKUP(B7,Blad2!$1:$1048576,6,FALSE)</f>
        <v>227</v>
      </c>
      <c r="F7" s="2">
        <f>HLOOKUP(B7,Blad2!$1:$1048576,7,FALSE)</f>
        <v>0</v>
      </c>
      <c r="G7">
        <f>HLOOKUP(B7,Blad2!$1:$1048576,8,FALSE)</f>
        <v>21.036740347412199</v>
      </c>
      <c r="H7">
        <f>HLOOKUP(B7,Blad2!$1:$1048576,9,FALSE)</f>
        <v>51.667741924295001</v>
      </c>
      <c r="J7">
        <v>26.7898</v>
      </c>
      <c r="K7" s="4">
        <v>1.9999999999999999E-6</v>
      </c>
      <c r="L7" t="s">
        <v>11</v>
      </c>
    </row>
    <row r="8" spans="2:12" x14ac:dyDescent="0.3">
      <c r="B8" s="5" t="s">
        <v>17</v>
      </c>
      <c r="C8">
        <f>HLOOKUP(B8,Blad2!$1:$1048576,4,FALSE)</f>
        <v>0</v>
      </c>
      <c r="D8" s="2">
        <f>HLOOKUP(B8,Blad2!$1:$1048576,5,FALSE)</f>
        <v>64.2</v>
      </c>
      <c r="E8" s="2">
        <f>HLOOKUP(B8,Blad2!$1:$1048576,6,FALSE)</f>
        <v>59.3</v>
      </c>
      <c r="F8" s="2">
        <f>HLOOKUP(B8,Blad2!$1:$1048576,7,FALSE)</f>
        <v>0</v>
      </c>
      <c r="G8">
        <f>HLOOKUP(B8,Blad2!$1:$1048576,8,FALSE)</f>
        <v>2.0976176963403002</v>
      </c>
      <c r="H8">
        <f>HLOOKUP(B8,Blad2!$1:$1048576,9,FALSE)</f>
        <v>1.70293863659264</v>
      </c>
      <c r="J8">
        <v>26.313099999999999</v>
      </c>
      <c r="K8" s="4">
        <v>1.9999999999999999E-6</v>
      </c>
      <c r="L8" t="s">
        <v>11</v>
      </c>
    </row>
    <row r="9" spans="2:12" x14ac:dyDescent="0.3">
      <c r="B9" s="5" t="s">
        <v>18</v>
      </c>
      <c r="C9">
        <f>HLOOKUP(B9,Blad2!$1:$1048576,4,FALSE)</f>
        <v>0</v>
      </c>
      <c r="D9" s="2">
        <f>HLOOKUP(B9,Blad2!$1:$1048576,5,FALSE)</f>
        <v>299.39999999999998</v>
      </c>
      <c r="E9" s="2">
        <f>HLOOKUP(B9,Blad2!$1:$1048576,6,FALSE)</f>
        <v>558.1</v>
      </c>
      <c r="F9" s="2">
        <f>HLOOKUP(B9,Blad2!$1:$1048576,7,FALSE)</f>
        <v>0</v>
      </c>
      <c r="G9">
        <f>HLOOKUP(B9,Blad2!$1:$1048576,8,FALSE)</f>
        <v>81.116103347129595</v>
      </c>
      <c r="H9">
        <f>HLOOKUP(B9,Blad2!$1:$1048576,9,FALSE)</f>
        <v>136.028959335054</v>
      </c>
      <c r="J9">
        <v>26.010300000000001</v>
      </c>
      <c r="K9" s="4">
        <v>1.9999999999999999E-6</v>
      </c>
      <c r="L9" t="s">
        <v>11</v>
      </c>
    </row>
    <row r="10" spans="2:12" x14ac:dyDescent="0.3">
      <c r="B10" s="5" t="s">
        <v>19</v>
      </c>
      <c r="C10">
        <f>HLOOKUP(B10,Blad2!$1:$1048576,4,FALSE)</f>
        <v>0</v>
      </c>
      <c r="D10" s="2">
        <f>HLOOKUP(B10,Blad2!$1:$1048576,5,FALSE)</f>
        <v>81.599999999999994</v>
      </c>
      <c r="E10" s="2">
        <f>HLOOKUP(B10,Blad2!$1:$1048576,6,FALSE)</f>
        <v>141.1</v>
      </c>
      <c r="F10" s="2">
        <f>HLOOKUP(B10,Blad2!$1:$1048576,7,FALSE)</f>
        <v>0</v>
      </c>
      <c r="G10">
        <f>HLOOKUP(B10,Blad2!$1:$1048576,8,FALSE)</f>
        <v>19.317234676722101</v>
      </c>
      <c r="H10">
        <f>HLOOKUP(B10,Blad2!$1:$1048576,9,FALSE)</f>
        <v>21.0842226426407</v>
      </c>
      <c r="J10">
        <v>26.5307</v>
      </c>
      <c r="K10" s="4">
        <v>1.9999999999999999E-6</v>
      </c>
      <c r="L10" t="s">
        <v>11</v>
      </c>
    </row>
    <row r="11" spans="2:12" x14ac:dyDescent="0.3">
      <c r="B11" s="5" t="s">
        <v>20</v>
      </c>
      <c r="C11">
        <f>HLOOKUP(B11,Blad2!$1:$1048576,4,FALSE)</f>
        <v>0</v>
      </c>
      <c r="D11" s="2">
        <f>HLOOKUP(B11,Blad2!$1:$1048576,5,FALSE)</f>
        <v>2.5910000000000002</v>
      </c>
      <c r="E11" s="2">
        <f>HLOOKUP(B11,Blad2!$1:$1048576,6,FALSE)</f>
        <v>11.999000000000001</v>
      </c>
      <c r="F11" s="2">
        <f>HLOOKUP(B11,Blad2!$1:$1048576,7,FALSE)</f>
        <v>0</v>
      </c>
      <c r="G11">
        <f>HLOOKUP(B11,Blad2!$1:$1048576,8,FALSE)</f>
        <v>1.47329901920825</v>
      </c>
      <c r="H11">
        <f>HLOOKUP(B11,Blad2!$1:$1048576,9,FALSE)</f>
        <v>9.5327592484489401</v>
      </c>
      <c r="J11">
        <v>25.2789</v>
      </c>
      <c r="K11" s="4">
        <v>3.0000000000000001E-6</v>
      </c>
      <c r="L11" t="s">
        <v>11</v>
      </c>
    </row>
    <row r="12" spans="2:12" x14ac:dyDescent="0.3">
      <c r="B12" s="5" t="s">
        <v>21</v>
      </c>
      <c r="C12">
        <f>HLOOKUP(B12,Blad2!$1:$1048576,4,FALSE)</f>
        <v>0</v>
      </c>
      <c r="D12" s="2">
        <f>HLOOKUP(B12,Blad2!$1:$1048576,5,FALSE)</f>
        <v>77.096000000000004</v>
      </c>
      <c r="E12" s="2">
        <f>HLOOKUP(B12,Blad2!$1:$1048576,6,FALSE)</f>
        <v>43.73</v>
      </c>
      <c r="F12" s="2">
        <f>HLOOKUP(B12,Blad2!$1:$1048576,7,FALSE)</f>
        <v>0</v>
      </c>
      <c r="G12">
        <f>HLOOKUP(B12,Blad2!$1:$1048576,8,FALSE)</f>
        <v>17.802274636186802</v>
      </c>
      <c r="H12">
        <f>HLOOKUP(B12,Blad2!$1:$1048576,9,FALSE)</f>
        <v>9.6755338641108306</v>
      </c>
      <c r="J12">
        <v>25.2789</v>
      </c>
      <c r="K12" s="4">
        <v>3.0000000000000001E-6</v>
      </c>
      <c r="L12" t="s">
        <v>11</v>
      </c>
    </row>
    <row r="13" spans="2:12" x14ac:dyDescent="0.3">
      <c r="B13" s="5" t="s">
        <v>22</v>
      </c>
      <c r="C13">
        <f>HLOOKUP(B13,Blad2!$1:$1048576,4,FALSE)</f>
        <v>0</v>
      </c>
      <c r="D13" s="2">
        <f>HLOOKUP(B13,Blad2!$1:$1048576,5,FALSE)</f>
        <v>64.099999999999994</v>
      </c>
      <c r="E13" s="2">
        <f>HLOOKUP(B13,Blad2!$1:$1048576,6,FALSE)</f>
        <v>59.7</v>
      </c>
      <c r="F13" s="2">
        <f>HLOOKUP(B13,Blad2!$1:$1048576,7,FALSE)</f>
        <v>0</v>
      </c>
      <c r="G13">
        <f>HLOOKUP(B13,Blad2!$1:$1048576,8,FALSE)</f>
        <v>1.96920739836559</v>
      </c>
      <c r="H13">
        <f>HLOOKUP(B13,Blad2!$1:$1048576,9,FALSE)</f>
        <v>1.2516655570345701</v>
      </c>
      <c r="J13">
        <v>25.7423</v>
      </c>
      <c r="K13" s="4">
        <v>3.0000000000000001E-6</v>
      </c>
      <c r="L13" t="s">
        <v>11</v>
      </c>
    </row>
    <row r="14" spans="2:12" x14ac:dyDescent="0.3">
      <c r="B14" s="5" t="s">
        <v>23</v>
      </c>
      <c r="C14">
        <f>HLOOKUP(B14,Blad2!$1:$1048576,4,FALSE)</f>
        <v>0</v>
      </c>
      <c r="D14" s="2">
        <f>HLOOKUP(B14,Blad2!$1:$1048576,5,FALSE)</f>
        <v>100.08</v>
      </c>
      <c r="E14" s="2">
        <f>HLOOKUP(B14,Blad2!$1:$1048576,6,FALSE)</f>
        <v>150.36699999999999</v>
      </c>
      <c r="F14" s="2">
        <f>HLOOKUP(B14,Blad2!$1:$1048576,7,FALSE)</f>
        <v>0</v>
      </c>
      <c r="G14">
        <f>HLOOKUP(B14,Blad2!$1:$1048576,8,FALSE)</f>
        <v>25.354566540259398</v>
      </c>
      <c r="H14">
        <f>HLOOKUP(B14,Blad2!$1:$1048576,9,FALSE)</f>
        <v>22.4469201302391</v>
      </c>
      <c r="J14">
        <v>25.0458</v>
      </c>
      <c r="K14" s="4">
        <v>3.9999999999999998E-6</v>
      </c>
      <c r="L14" t="s">
        <v>11</v>
      </c>
    </row>
    <row r="15" spans="2:12" x14ac:dyDescent="0.3">
      <c r="B15" s="5" t="s">
        <v>24</v>
      </c>
      <c r="C15">
        <f>HLOOKUP(B15,Blad2!$1:$1048576,4,FALSE)</f>
        <v>0</v>
      </c>
      <c r="D15" s="2">
        <f>HLOOKUP(B15,Blad2!$1:$1048576,5,FALSE)</f>
        <v>212.2</v>
      </c>
      <c r="E15" s="2">
        <f>HLOOKUP(B15,Blad2!$1:$1048576,6,FALSE)</f>
        <v>400.4</v>
      </c>
      <c r="F15" s="2">
        <f>HLOOKUP(B15,Blad2!$1:$1048576,7,FALSE)</f>
        <v>0</v>
      </c>
      <c r="G15">
        <f>HLOOKUP(B15,Blad2!$1:$1048576,8,FALSE)</f>
        <v>72.401350509196604</v>
      </c>
      <c r="H15">
        <f>HLOOKUP(B15,Blad2!$1:$1048576,9,FALSE)</f>
        <v>124.294632046422</v>
      </c>
      <c r="J15">
        <v>24.712</v>
      </c>
      <c r="K15" s="4">
        <v>3.9999999999999998E-6</v>
      </c>
      <c r="L15" t="s">
        <v>11</v>
      </c>
    </row>
    <row r="16" spans="2:12" x14ac:dyDescent="0.3">
      <c r="B16" s="5" t="s">
        <v>25</v>
      </c>
      <c r="C16">
        <f>HLOOKUP(B16,Blad2!$1:$1048576,4,FALSE)</f>
        <v>0</v>
      </c>
      <c r="D16" s="2">
        <f>HLOOKUP(B16,Blad2!$1:$1048576,5,FALSE)</f>
        <v>66</v>
      </c>
      <c r="E16" s="2">
        <f>HLOOKUP(B16,Blad2!$1:$1048576,6,FALSE)</f>
        <v>75.2</v>
      </c>
      <c r="F16" s="2">
        <f>HLOOKUP(B16,Blad2!$1:$1048576,7,FALSE)</f>
        <v>0</v>
      </c>
      <c r="G16">
        <f>HLOOKUP(B16,Blad2!$1:$1048576,8,FALSE)</f>
        <v>6.4807406984078604</v>
      </c>
      <c r="H16">
        <f>HLOOKUP(B16,Blad2!$1:$1048576,9,FALSE)</f>
        <v>4.7795862210493096</v>
      </c>
      <c r="J16">
        <v>24.119</v>
      </c>
      <c r="K16" s="4">
        <v>6.0000000000000002E-6</v>
      </c>
      <c r="L16" t="s">
        <v>11</v>
      </c>
    </row>
    <row r="17" spans="2:12" x14ac:dyDescent="0.3">
      <c r="B17" s="5" t="s">
        <v>26</v>
      </c>
      <c r="C17">
        <f>HLOOKUP(B17,Blad2!$1:$1048576,4,FALSE)</f>
        <v>0</v>
      </c>
      <c r="D17" s="2">
        <f>HLOOKUP(B17,Blad2!$1:$1048576,5,FALSE)</f>
        <v>18.265999999999998</v>
      </c>
      <c r="E17" s="2">
        <f>HLOOKUP(B17,Blad2!$1:$1048576,6,FALSE)</f>
        <v>14.311</v>
      </c>
      <c r="F17" s="2">
        <f>HLOOKUP(B17,Blad2!$1:$1048576,7,FALSE)</f>
        <v>0</v>
      </c>
      <c r="G17">
        <f>HLOOKUP(B17,Blad2!$1:$1048576,8,FALSE)</f>
        <v>3.2171181030370701</v>
      </c>
      <c r="H17">
        <f>HLOOKUP(B17,Blad2!$1:$1048576,9,FALSE)</f>
        <v>1.48189405829161</v>
      </c>
      <c r="J17">
        <v>23.759899999999998</v>
      </c>
      <c r="K17" s="4">
        <v>6.9999999999999999E-6</v>
      </c>
      <c r="L17" t="s">
        <v>11</v>
      </c>
    </row>
    <row r="18" spans="2:12" x14ac:dyDescent="0.3">
      <c r="B18" s="5" t="s">
        <v>27</v>
      </c>
      <c r="C18">
        <f>HLOOKUP(B18,Blad2!$1:$1048576,4,FALSE)</f>
        <v>0</v>
      </c>
      <c r="D18" s="2">
        <f>HLOOKUP(B18,Blad2!$1:$1048576,5,FALSE)</f>
        <v>6.9</v>
      </c>
      <c r="E18" s="2">
        <f>HLOOKUP(B18,Blad2!$1:$1048576,6,FALSE)</f>
        <v>15.8</v>
      </c>
      <c r="F18" s="2">
        <f>HLOOKUP(B18,Blad2!$1:$1048576,7,FALSE)</f>
        <v>0</v>
      </c>
      <c r="G18">
        <f>HLOOKUP(B18,Blad2!$1:$1048576,8,FALSE)</f>
        <v>4.1486276177925498</v>
      </c>
      <c r="H18">
        <f>HLOOKUP(B18,Blad2!$1:$1048576,9,FALSE)</f>
        <v>6.9888800565215297</v>
      </c>
      <c r="J18">
        <v>23.694299999999998</v>
      </c>
      <c r="K18" s="4">
        <v>6.9999999999999999E-6</v>
      </c>
      <c r="L18" t="s">
        <v>11</v>
      </c>
    </row>
    <row r="19" spans="2:12" x14ac:dyDescent="0.3">
      <c r="B19" s="5" t="s">
        <v>28</v>
      </c>
      <c r="C19">
        <f>HLOOKUP(B19,Blad2!$1:$1048576,4,FALSE)</f>
        <v>0</v>
      </c>
      <c r="D19" s="2">
        <f>HLOOKUP(B19,Blad2!$1:$1048576,5,FALSE)</f>
        <v>9.1</v>
      </c>
      <c r="E19" s="2">
        <f>HLOOKUP(B19,Blad2!$1:$1048576,6,FALSE)</f>
        <v>21.5</v>
      </c>
      <c r="F19" s="2">
        <f>HLOOKUP(B19,Blad2!$1:$1048576,7,FALSE)</f>
        <v>0</v>
      </c>
      <c r="G19">
        <f>HLOOKUP(B19,Blad2!$1:$1048576,8,FALSE)</f>
        <v>5.0431471655438802</v>
      </c>
      <c r="H19">
        <f>HLOOKUP(B19,Blad2!$1:$1048576,9,FALSE)</f>
        <v>9.7325342137709505</v>
      </c>
      <c r="J19">
        <v>23.8873</v>
      </c>
      <c r="K19" s="4">
        <v>6.9999999999999999E-6</v>
      </c>
      <c r="L19" t="s">
        <v>11</v>
      </c>
    </row>
    <row r="20" spans="2:12" x14ac:dyDescent="0.3">
      <c r="B20" s="5" t="s">
        <v>29</v>
      </c>
      <c r="C20">
        <f>HLOOKUP(B20,Blad2!$1:$1048576,4,FALSE)</f>
        <v>0</v>
      </c>
      <c r="D20" s="2">
        <f>HLOOKUP(B20,Blad2!$1:$1048576,5,FALSE)</f>
        <v>14.607999999999899</v>
      </c>
      <c r="E20" s="2">
        <f>HLOOKUP(B20,Blad2!$1:$1048576,6,FALSE)</f>
        <v>12.26</v>
      </c>
      <c r="F20" s="2">
        <f>HLOOKUP(B20,Blad2!$1:$1048576,7,FALSE)</f>
        <v>0</v>
      </c>
      <c r="G20">
        <f>HLOOKUP(B20,Blad2!$1:$1048576,8,FALSE)</f>
        <v>2.42515429062427</v>
      </c>
      <c r="H20">
        <f>HLOOKUP(B20,Blad2!$1:$1048576,9,FALSE)</f>
        <v>1.22074658394861</v>
      </c>
      <c r="J20">
        <v>23.374099999999999</v>
      </c>
      <c r="K20" s="4">
        <v>7.9999999999999996E-6</v>
      </c>
      <c r="L20" t="s">
        <v>11</v>
      </c>
    </row>
    <row r="21" spans="2:12" x14ac:dyDescent="0.3">
      <c r="B21" s="5" t="s">
        <v>30</v>
      </c>
      <c r="C21">
        <f>HLOOKUP(B21,Blad2!$1:$1048576,4,FALSE)</f>
        <v>0</v>
      </c>
      <c r="D21" s="2">
        <f>HLOOKUP(B21,Blad2!$1:$1048576,5,FALSE)</f>
        <v>67.185000000000002</v>
      </c>
      <c r="E21" s="2">
        <f>HLOOKUP(B21,Blad2!$1:$1048576,6,FALSE)</f>
        <v>52.053999999999903</v>
      </c>
      <c r="F21" s="2">
        <f>HLOOKUP(B21,Blad2!$1:$1048576,7,FALSE)</f>
        <v>0</v>
      </c>
      <c r="G21">
        <f>HLOOKUP(B21,Blad2!$1:$1048576,8,FALSE)</f>
        <v>17.673337891361101</v>
      </c>
      <c r="H21">
        <f>HLOOKUP(B21,Blad2!$1:$1048576,9,FALSE)</f>
        <v>8.1707461919541498</v>
      </c>
      <c r="J21">
        <v>23.189299999999999</v>
      </c>
      <c r="K21" s="4">
        <v>9.0000000000000002E-6</v>
      </c>
      <c r="L21" t="s">
        <v>11</v>
      </c>
    </row>
    <row r="22" spans="2:12" x14ac:dyDescent="0.3">
      <c r="B22" s="5" t="s">
        <v>31</v>
      </c>
      <c r="C22">
        <f>HLOOKUP(B22,Blad2!$1:$1048576,4,FALSE)</f>
        <v>0</v>
      </c>
      <c r="D22" s="2">
        <f>HLOOKUP(B22,Blad2!$1:$1048576,5,FALSE)</f>
        <v>57.66</v>
      </c>
      <c r="E22" s="2">
        <f>HLOOKUP(B22,Blad2!$1:$1048576,6,FALSE)</f>
        <v>49.052</v>
      </c>
      <c r="F22" s="2">
        <f>HLOOKUP(B22,Blad2!$1:$1048576,7,FALSE)</f>
        <v>0</v>
      </c>
      <c r="G22">
        <f>HLOOKUP(B22,Blad2!$1:$1048576,8,FALSE)</f>
        <v>9.8321920241622607</v>
      </c>
      <c r="H22">
        <f>HLOOKUP(B22,Blad2!$1:$1048576,9,FALSE)</f>
        <v>4.1622024084478202</v>
      </c>
      <c r="J22">
        <v>23.009799999999998</v>
      </c>
      <c r="K22" s="4">
        <v>1.0000000000000001E-5</v>
      </c>
      <c r="L22" t="s">
        <v>11</v>
      </c>
    </row>
    <row r="23" spans="2:12" x14ac:dyDescent="0.3">
      <c r="B23" s="5" t="s">
        <v>32</v>
      </c>
      <c r="C23">
        <f>HLOOKUP(B23,Blad2!$1:$1048576,4,FALSE)</f>
        <v>147.63999999999999</v>
      </c>
      <c r="D23" s="2">
        <f>HLOOKUP(B23,Blad2!$1:$1048576,5,FALSE)</f>
        <v>126.093</v>
      </c>
      <c r="E23" s="2">
        <f>HLOOKUP(B23,Blad2!$1:$1048576,6,FALSE)</f>
        <v>87.628</v>
      </c>
      <c r="F23" s="2">
        <f>HLOOKUP(B23,Blad2!$1:$1048576,7,FALSE)</f>
        <v>13.0980863742253</v>
      </c>
      <c r="G23">
        <f>HLOOKUP(B23,Blad2!$1:$1048576,8,FALSE)</f>
        <v>15.391963307013301</v>
      </c>
      <c r="H23">
        <f>HLOOKUP(B23,Blad2!$1:$1048576,9,FALSE)</f>
        <v>13.6752629875179</v>
      </c>
      <c r="J23">
        <v>22.887699999999999</v>
      </c>
      <c r="K23" s="4">
        <v>1.1E-5</v>
      </c>
      <c r="L23" t="s">
        <v>11</v>
      </c>
    </row>
    <row r="24" spans="2:12" x14ac:dyDescent="0.3">
      <c r="B24" s="5" t="s">
        <v>33</v>
      </c>
      <c r="C24">
        <f>HLOOKUP(B24,Blad2!$1:$1048576,4,FALSE)</f>
        <v>39.155000000000001</v>
      </c>
      <c r="D24" s="2">
        <f>HLOOKUP(B24,Blad2!$1:$1048576,5,FALSE)</f>
        <v>36.089999999999897</v>
      </c>
      <c r="E24" s="2">
        <f>HLOOKUP(B24,Blad2!$1:$1048576,6,FALSE)</f>
        <v>29.98</v>
      </c>
      <c r="F24" s="2">
        <f>HLOOKUP(B24,Blad2!$1:$1048576,7,FALSE)</f>
        <v>2.1477080807223299</v>
      </c>
      <c r="G24">
        <f>HLOOKUP(B24,Blad2!$1:$1048576,8,FALSE)</f>
        <v>2.0573769708052998</v>
      </c>
      <c r="H24">
        <f>HLOOKUP(B24,Blad2!$1:$1048576,9,FALSE)</f>
        <v>2.3796731801750499</v>
      </c>
      <c r="J24">
        <v>22.343</v>
      </c>
      <c r="K24" s="4">
        <v>1.4E-5</v>
      </c>
      <c r="L24" t="s">
        <v>11</v>
      </c>
    </row>
    <row r="25" spans="2:12" x14ac:dyDescent="0.3">
      <c r="B25" s="5" t="s">
        <v>34</v>
      </c>
      <c r="C25">
        <f>HLOOKUP(B25,Blad2!$1:$1048576,4,FALSE)</f>
        <v>0</v>
      </c>
      <c r="D25" s="2">
        <f>HLOOKUP(B25,Blad2!$1:$1048576,5,FALSE)</f>
        <v>2.181</v>
      </c>
      <c r="E25" s="2">
        <f>HLOOKUP(B25,Blad2!$1:$1048576,6,FALSE)</f>
        <v>3.0919999999999899</v>
      </c>
      <c r="F25" s="2">
        <f>HLOOKUP(B25,Blad2!$1:$1048576,7,FALSE)</f>
        <v>0</v>
      </c>
      <c r="G25">
        <f>HLOOKUP(B25,Blad2!$1:$1048576,8,FALSE)</f>
        <v>2.2543856024301698</v>
      </c>
      <c r="H25">
        <f>HLOOKUP(B25,Blad2!$1:$1048576,9,FALSE)</f>
        <v>1.8096150603558301</v>
      </c>
      <c r="J25">
        <v>22.045400000000001</v>
      </c>
      <c r="K25" s="4">
        <v>1.5999999999999999E-5</v>
      </c>
      <c r="L25" t="s">
        <v>11</v>
      </c>
    </row>
    <row r="26" spans="2:12" x14ac:dyDescent="0.3">
      <c r="B26" s="5" t="s">
        <v>35</v>
      </c>
      <c r="C26">
        <f>HLOOKUP(B26,Blad2!$1:$1048576,4,FALSE)</f>
        <v>8.7099999999999902</v>
      </c>
      <c r="D26" s="2">
        <f>HLOOKUP(B26,Blad2!$1:$1048576,5,FALSE)</f>
        <v>7.7460000000000004</v>
      </c>
      <c r="E26" s="2">
        <f>HLOOKUP(B26,Blad2!$1:$1048576,6,FALSE)</f>
        <v>5.6749999999999998</v>
      </c>
      <c r="F26" s="2">
        <f>HLOOKUP(B26,Blad2!$1:$1048576,7,FALSE)</f>
        <v>0.75221155416692598</v>
      </c>
      <c r="G26">
        <f>HLOOKUP(B26,Blad2!$1:$1048576,8,FALSE)</f>
        <v>0.55542176166705304</v>
      </c>
      <c r="H26">
        <f>HLOOKUP(B26,Blad2!$1:$1048576,9,FALSE)</f>
        <v>0.90903184151540495</v>
      </c>
      <c r="J26">
        <v>22.046199999999999</v>
      </c>
      <c r="K26" s="4">
        <v>1.5999999999999999E-5</v>
      </c>
      <c r="L26" t="s">
        <v>11</v>
      </c>
    </row>
    <row r="27" spans="2:12" x14ac:dyDescent="0.3">
      <c r="B27" s="5" t="s">
        <v>36</v>
      </c>
      <c r="C27">
        <f>HLOOKUP(B27,Blad2!$1:$1048576,4,FALSE)</f>
        <v>1015.4</v>
      </c>
      <c r="D27" s="2">
        <f>HLOOKUP(B27,Blad2!$1:$1048576,5,FALSE)</f>
        <v>861.7</v>
      </c>
      <c r="E27" s="2">
        <f>HLOOKUP(B27,Blad2!$1:$1048576,6,FALSE)</f>
        <v>505.8</v>
      </c>
      <c r="F27" s="2">
        <f>HLOOKUP(B27,Blad2!$1:$1048576,7,FALSE)</f>
        <v>120.440118823514</v>
      </c>
      <c r="G27">
        <f>HLOOKUP(B27,Blad2!$1:$1048576,8,FALSE)</f>
        <v>131.20217647246201</v>
      </c>
      <c r="H27">
        <f>HLOOKUP(B27,Blad2!$1:$1048576,9,FALSE)</f>
        <v>116.356540187668</v>
      </c>
      <c r="J27">
        <v>22.002300000000002</v>
      </c>
      <c r="K27" s="4">
        <v>1.7E-5</v>
      </c>
      <c r="L27" t="s">
        <v>11</v>
      </c>
    </row>
    <row r="28" spans="2:12" x14ac:dyDescent="0.3">
      <c r="B28" s="5" t="s">
        <v>37</v>
      </c>
      <c r="C28">
        <f>HLOOKUP(B28,Blad2!$1:$1048576,4,FALSE)</f>
        <v>67.400000000000006</v>
      </c>
      <c r="D28" s="2">
        <f>HLOOKUP(B28,Blad2!$1:$1048576,5,FALSE)</f>
        <v>47.4</v>
      </c>
      <c r="E28" s="2">
        <f>HLOOKUP(B28,Blad2!$1:$1048576,6,FALSE)</f>
        <v>22.1</v>
      </c>
      <c r="F28" s="2">
        <f>HLOOKUP(B28,Blad2!$1:$1048576,7,FALSE)</f>
        <v>15.407069084604499</v>
      </c>
      <c r="G28">
        <f>HLOOKUP(B28,Blad2!$1:$1048576,8,FALSE)</f>
        <v>17.5511949577356</v>
      </c>
      <c r="H28">
        <f>HLOOKUP(B28,Blad2!$1:$1048576,9,FALSE)</f>
        <v>5.3218626647276599</v>
      </c>
      <c r="J28">
        <v>21.0778</v>
      </c>
      <c r="K28" s="4">
        <v>2.5999999999999998E-5</v>
      </c>
      <c r="L28" t="s">
        <v>11</v>
      </c>
    </row>
    <row r="29" spans="2:12" x14ac:dyDescent="0.3">
      <c r="B29" s="5" t="s">
        <v>38</v>
      </c>
      <c r="C29">
        <f>HLOOKUP(B29,Blad2!$1:$1048576,4,FALSE)</f>
        <v>8.6199999999999992</v>
      </c>
      <c r="D29" s="2">
        <f>HLOOKUP(B29,Blad2!$1:$1048576,5,FALSE)</f>
        <v>6.2750000000000004</v>
      </c>
      <c r="E29" s="2">
        <f>HLOOKUP(B29,Blad2!$1:$1048576,6,FALSE)</f>
        <v>3.859</v>
      </c>
      <c r="F29" s="2">
        <f>HLOOKUP(B29,Blad2!$1:$1048576,7,FALSE)</f>
        <v>1.70978881087044</v>
      </c>
      <c r="G29">
        <f>HLOOKUP(B29,Blad2!$1:$1048576,8,FALSE)</f>
        <v>1.3458516510621299</v>
      </c>
      <c r="H29">
        <f>HLOOKUP(B29,Blad2!$1:$1048576,9,FALSE)</f>
        <v>0.70598158616213202</v>
      </c>
      <c r="J29">
        <v>20.998699999999999</v>
      </c>
      <c r="K29" s="4">
        <v>2.8E-5</v>
      </c>
      <c r="L29" t="s">
        <v>11</v>
      </c>
    </row>
    <row r="30" spans="2:12" x14ac:dyDescent="0.3">
      <c r="B30" s="5" t="s">
        <v>39</v>
      </c>
      <c r="C30">
        <f>HLOOKUP(B30,Blad2!$1:$1048576,4,FALSE)</f>
        <v>10.1299999999999</v>
      </c>
      <c r="D30" s="2">
        <f>HLOOKUP(B30,Blad2!$1:$1048576,5,FALSE)</f>
        <v>7.3689999999999998</v>
      </c>
      <c r="E30" s="2">
        <f>HLOOKUP(B30,Blad2!$1:$1048576,6,FALSE)</f>
        <v>6.0369999999999999</v>
      </c>
      <c r="F30" s="2">
        <f>HLOOKUP(B30,Blad2!$1:$1048576,7,FALSE)</f>
        <v>1.59551454605298</v>
      </c>
      <c r="G30">
        <f>HLOOKUP(B30,Blad2!$1:$1048576,8,FALSE)</f>
        <v>1.2517228127664599</v>
      </c>
      <c r="H30">
        <f>HLOOKUP(B30,Blad2!$1:$1048576,9,FALSE)</f>
        <v>1.1515405140747501</v>
      </c>
      <c r="J30">
        <v>20.6523</v>
      </c>
      <c r="K30" s="4">
        <v>3.3000000000000003E-5</v>
      </c>
      <c r="L30" t="s">
        <v>11</v>
      </c>
    </row>
    <row r="31" spans="2:12" x14ac:dyDescent="0.3">
      <c r="B31" s="5" t="s">
        <v>40</v>
      </c>
      <c r="C31">
        <f>HLOOKUP(B31,Blad2!$1:$1048576,4,FALSE)</f>
        <v>0</v>
      </c>
      <c r="D31" s="2">
        <f>HLOOKUP(B31,Blad2!$1:$1048576,5,FALSE)</f>
        <v>1.4E-2</v>
      </c>
      <c r="E31" s="2">
        <f>HLOOKUP(B31,Blad2!$1:$1048576,6,FALSE)</f>
        <v>1.7000000000000001E-2</v>
      </c>
      <c r="F31" s="2">
        <f>HLOOKUP(B31,Blad2!$1:$1048576,7,FALSE)</f>
        <v>0</v>
      </c>
      <c r="G31">
        <f>HLOOKUP(B31,Blad2!$1:$1048576,8,FALSE)</f>
        <v>6.99205898780101E-3</v>
      </c>
      <c r="H31">
        <f>HLOOKUP(B31,Blad2!$1:$1048576,9,FALSE)</f>
        <v>4.8304589153964801E-3</v>
      </c>
      <c r="J31">
        <v>20.541899999999998</v>
      </c>
      <c r="K31" s="4">
        <v>3.4999999999999997E-5</v>
      </c>
      <c r="L31" t="s">
        <v>11</v>
      </c>
    </row>
    <row r="32" spans="2:12" x14ac:dyDescent="0.3">
      <c r="B32" s="5" t="s">
        <v>41</v>
      </c>
      <c r="C32">
        <f>HLOOKUP(B32,Blad2!$1:$1048576,4,FALSE)</f>
        <v>5.7469999999999999</v>
      </c>
      <c r="D32" s="2">
        <f>HLOOKUP(B32,Blad2!$1:$1048576,5,FALSE)</f>
        <v>5.1189999999999998</v>
      </c>
      <c r="E32" s="2">
        <f>HLOOKUP(B32,Blad2!$1:$1048576,6,FALSE)</f>
        <v>3.9319999999999999</v>
      </c>
      <c r="F32" s="2">
        <f>HLOOKUP(B32,Blad2!$1:$1048576,7,FALSE)</f>
        <v>0.52319637273632102</v>
      </c>
      <c r="G32">
        <f>HLOOKUP(B32,Blad2!$1:$1048576,8,FALSE)</f>
        <v>0.495814705532442</v>
      </c>
      <c r="H32">
        <f>HLOOKUP(B32,Blad2!$1:$1048576,9,FALSE)</f>
        <v>0.58864816882979099</v>
      </c>
      <c r="J32">
        <v>20.451000000000001</v>
      </c>
      <c r="K32" s="4">
        <v>3.6000000000000001E-5</v>
      </c>
      <c r="L32" t="s">
        <v>11</v>
      </c>
    </row>
    <row r="33" spans="2:12" x14ac:dyDescent="0.3">
      <c r="B33" s="5" t="s">
        <v>42</v>
      </c>
      <c r="C33">
        <f>HLOOKUP(B33,Blad2!$1:$1048576,4,FALSE)</f>
        <v>0</v>
      </c>
      <c r="D33" s="2">
        <f>HLOOKUP(B33,Blad2!$1:$1048576,5,FALSE)</f>
        <v>24.550999999999998</v>
      </c>
      <c r="E33" s="2">
        <f>HLOOKUP(B33,Blad2!$1:$1048576,6,FALSE)</f>
        <v>24.206</v>
      </c>
      <c r="F33" s="2">
        <f>HLOOKUP(B33,Blad2!$1:$1048576,7,FALSE)</f>
        <v>0</v>
      </c>
      <c r="G33">
        <f>HLOOKUP(B33,Blad2!$1:$1048576,8,FALSE)</f>
        <v>3.8496881547586201</v>
      </c>
      <c r="H33">
        <f>HLOOKUP(B33,Blad2!$1:$1048576,9,FALSE)</f>
        <v>2.3074045062700899</v>
      </c>
      <c r="J33">
        <v>20.3094</v>
      </c>
      <c r="K33" s="4">
        <v>3.8999999999999999E-5</v>
      </c>
      <c r="L33" t="s">
        <v>11</v>
      </c>
    </row>
    <row r="34" spans="2:12" x14ac:dyDescent="0.3">
      <c r="B34" s="5" t="s">
        <v>43</v>
      </c>
      <c r="C34">
        <f>HLOOKUP(B34,Blad2!$1:$1048576,4,FALSE)</f>
        <v>0</v>
      </c>
      <c r="D34" s="2">
        <f>HLOOKUP(B34,Blad2!$1:$1048576,5,FALSE)</f>
        <v>44.195999999999998</v>
      </c>
      <c r="E34" s="2">
        <f>HLOOKUP(B34,Blad2!$1:$1048576,6,FALSE)</f>
        <v>47.320999999999998</v>
      </c>
      <c r="F34" s="2">
        <f>HLOOKUP(B34,Blad2!$1:$1048576,7,FALSE)</f>
        <v>0</v>
      </c>
      <c r="G34">
        <f>HLOOKUP(B34,Blad2!$1:$1048576,8,FALSE)</f>
        <v>6.0676449760640701</v>
      </c>
      <c r="H34">
        <f>HLOOKUP(B34,Blad2!$1:$1048576,9,FALSE)</f>
        <v>2.7989341225227502</v>
      </c>
      <c r="J34">
        <v>20.2638</v>
      </c>
      <c r="K34" s="4">
        <v>4.0000000000000003E-5</v>
      </c>
      <c r="L34" t="s">
        <v>11</v>
      </c>
    </row>
    <row r="35" spans="2:12" x14ac:dyDescent="0.3">
      <c r="B35" s="5" t="s">
        <v>44</v>
      </c>
      <c r="C35">
        <f>HLOOKUP(B35,Blad2!$1:$1048576,4,FALSE)</f>
        <v>172.5</v>
      </c>
      <c r="D35" s="2">
        <f>HLOOKUP(B35,Blad2!$1:$1048576,5,FALSE)</f>
        <v>145.9</v>
      </c>
      <c r="E35" s="2">
        <f>HLOOKUP(B35,Blad2!$1:$1048576,6,FALSE)</f>
        <v>86.2</v>
      </c>
      <c r="F35" s="2">
        <f>HLOOKUP(B35,Blad2!$1:$1048576,7,FALSE)</f>
        <v>29.364566705091601</v>
      </c>
      <c r="G35">
        <f>HLOOKUP(B35,Blad2!$1:$1048576,8,FALSE)</f>
        <v>26.488781692549601</v>
      </c>
      <c r="H35">
        <f>HLOOKUP(B35,Blad2!$1:$1048576,9,FALSE)</f>
        <v>22.885220849564298</v>
      </c>
      <c r="J35">
        <v>20.2013</v>
      </c>
      <c r="K35" s="4">
        <v>4.1E-5</v>
      </c>
      <c r="L35" t="s">
        <v>11</v>
      </c>
    </row>
    <row r="36" spans="2:12" x14ac:dyDescent="0.3">
      <c r="B36" s="5" t="s">
        <v>45</v>
      </c>
      <c r="C36">
        <f>HLOOKUP(B36,Blad2!$1:$1048576,4,FALSE)</f>
        <v>105</v>
      </c>
      <c r="D36" s="2">
        <f>HLOOKUP(B36,Blad2!$1:$1048576,5,FALSE)</f>
        <v>68.5</v>
      </c>
      <c r="E36" s="2">
        <f>HLOOKUP(B36,Blad2!$1:$1048576,6,FALSE)</f>
        <v>18.2</v>
      </c>
      <c r="F36" s="2">
        <f>HLOOKUP(B36,Blad2!$1:$1048576,7,FALSE)</f>
        <v>38.646546489376703</v>
      </c>
      <c r="G36">
        <f>HLOOKUP(B36,Blad2!$1:$1048576,8,FALSE)</f>
        <v>26.013885181229998</v>
      </c>
      <c r="H36">
        <f>HLOOKUP(B36,Blad2!$1:$1048576,9,FALSE)</f>
        <v>17.028081382103899</v>
      </c>
      <c r="J36">
        <v>19.6721</v>
      </c>
      <c r="K36" s="4">
        <v>5.3000000000000001E-5</v>
      </c>
      <c r="L36" t="s">
        <v>11</v>
      </c>
    </row>
    <row r="37" spans="2:12" x14ac:dyDescent="0.3">
      <c r="B37" s="5" t="s">
        <v>46</v>
      </c>
      <c r="C37">
        <f>HLOOKUP(B37,Blad2!$1:$1048576,4,FALSE)</f>
        <v>5.14</v>
      </c>
      <c r="D37" s="2">
        <f>HLOOKUP(B37,Blad2!$1:$1048576,5,FALSE)</f>
        <v>6.9079999999999897</v>
      </c>
      <c r="E37" s="2">
        <f>HLOOKUP(B37,Blad2!$1:$1048576,6,FALSE)</f>
        <v>9.9390000000000001</v>
      </c>
      <c r="F37" s="2">
        <f>HLOOKUP(B37,Blad2!$1:$1048576,7,FALSE)</f>
        <v>1.61953354052606</v>
      </c>
      <c r="G37">
        <f>HLOOKUP(B37,Blad2!$1:$1048576,8,FALSE)</f>
        <v>1.6106023717851601</v>
      </c>
      <c r="H37">
        <f>HLOOKUP(B37,Blad2!$1:$1048576,9,FALSE)</f>
        <v>1.4614106579299</v>
      </c>
      <c r="J37">
        <v>18.5777</v>
      </c>
      <c r="K37" s="4">
        <v>9.2E-5</v>
      </c>
      <c r="L37" t="s">
        <v>11</v>
      </c>
    </row>
    <row r="38" spans="2:12" x14ac:dyDescent="0.3">
      <c r="B38" s="5" t="s">
        <v>47</v>
      </c>
      <c r="C38">
        <f>HLOOKUP(B38,Blad2!$1:$1048576,4,FALSE)</f>
        <v>42.822000000000003</v>
      </c>
      <c r="D38" s="2">
        <f>HLOOKUP(B38,Blad2!$1:$1048576,5,FALSE)</f>
        <v>38.757999999999903</v>
      </c>
      <c r="E38" s="2">
        <f>HLOOKUP(B38,Blad2!$1:$1048576,6,FALSE)</f>
        <v>32.237000000000002</v>
      </c>
      <c r="F38" s="2">
        <f>HLOOKUP(B38,Blad2!$1:$1048576,7,FALSE)</f>
        <v>3.49852286289831</v>
      </c>
      <c r="G38">
        <f>HLOOKUP(B38,Blad2!$1:$1048576,8,FALSE)</f>
        <v>5.1839470161901398</v>
      </c>
      <c r="H38">
        <f>HLOOKUP(B38,Blad2!$1:$1048576,9,FALSE)</f>
        <v>2.8051106137825501</v>
      </c>
      <c r="J38">
        <v>16.341699999999999</v>
      </c>
      <c r="K38" s="4">
        <v>2.8299999999999999E-4</v>
      </c>
      <c r="L38" t="s">
        <v>11</v>
      </c>
    </row>
    <row r="39" spans="2:12" x14ac:dyDescent="0.3">
      <c r="B39" s="5" t="s">
        <v>48</v>
      </c>
      <c r="C39">
        <f>HLOOKUP(B39,Blad2!$1:$1048576,4,FALSE)</f>
        <v>130.19999999999999</v>
      </c>
      <c r="D39" s="2">
        <f>HLOOKUP(B39,Blad2!$1:$1048576,5,FALSE)</f>
        <v>89.1</v>
      </c>
      <c r="E39" s="2">
        <f>HLOOKUP(B39,Blad2!$1:$1048576,6,FALSE)</f>
        <v>67.400000000000006</v>
      </c>
      <c r="F39" s="2">
        <f>HLOOKUP(B39,Blad2!$1:$1048576,7,FALSE)</f>
        <v>30.198601880808202</v>
      </c>
      <c r="G39">
        <f>HLOOKUP(B39,Blad2!$1:$1048576,8,FALSE)</f>
        <v>27.0203626918663</v>
      </c>
      <c r="H39">
        <f>HLOOKUP(B39,Blad2!$1:$1048576,9,FALSE)</f>
        <v>11.2960169971543</v>
      </c>
      <c r="J39">
        <v>16.267199999999999</v>
      </c>
      <c r="K39" s="4">
        <v>2.9399999999999999E-4</v>
      </c>
      <c r="L39" t="s">
        <v>11</v>
      </c>
    </row>
    <row r="40" spans="2:12" x14ac:dyDescent="0.3">
      <c r="B40" s="5" t="s">
        <v>49</v>
      </c>
      <c r="C40">
        <f>HLOOKUP(B40,Blad2!$1:$1048576,4,FALSE)</f>
        <v>65.7</v>
      </c>
      <c r="D40" s="2">
        <f>HLOOKUP(B40,Blad2!$1:$1048576,5,FALSE)</f>
        <v>36.700000000000003</v>
      </c>
      <c r="E40" s="2">
        <f>HLOOKUP(B40,Blad2!$1:$1048576,6,FALSE)</f>
        <v>19.2</v>
      </c>
      <c r="F40" s="2">
        <f>HLOOKUP(B40,Blad2!$1:$1048576,7,FALSE)</f>
        <v>30.2362916597477</v>
      </c>
      <c r="G40">
        <f>HLOOKUP(B40,Blad2!$1:$1048576,8,FALSE)</f>
        <v>26.700187265260801</v>
      </c>
      <c r="H40">
        <f>HLOOKUP(B40,Blad2!$1:$1048576,9,FALSE)</f>
        <v>8.2435159704798</v>
      </c>
      <c r="J40">
        <v>15.0533</v>
      </c>
      <c r="K40" s="4">
        <v>5.3899999999999998E-4</v>
      </c>
      <c r="L40" t="s">
        <v>11</v>
      </c>
    </row>
    <row r="41" spans="2:12" x14ac:dyDescent="0.3">
      <c r="B41" s="5" t="s">
        <v>50</v>
      </c>
      <c r="C41">
        <f>HLOOKUP(B41,Blad2!$1:$1048576,4,FALSE)</f>
        <v>99.3</v>
      </c>
      <c r="D41" s="2">
        <f>HLOOKUP(B41,Blad2!$1:$1048576,5,FALSE)</f>
        <v>98.9</v>
      </c>
      <c r="E41" s="2">
        <f>HLOOKUP(B41,Blad2!$1:$1048576,6,FALSE)</f>
        <v>98</v>
      </c>
      <c r="F41" s="2">
        <f>HLOOKUP(B41,Blad2!$1:$1048576,7,FALSE)</f>
        <v>0.483045891539647</v>
      </c>
      <c r="G41">
        <f>HLOOKUP(B41,Blad2!$1:$1048576,8,FALSE)</f>
        <v>0.316227766016838</v>
      </c>
      <c r="H41">
        <f>HLOOKUP(B41,Blad2!$1:$1048576,9,FALSE)</f>
        <v>0.94280904158206302</v>
      </c>
      <c r="J41">
        <v>14.8507</v>
      </c>
      <c r="K41" s="4">
        <v>5.9599999999999996E-4</v>
      </c>
      <c r="L41" t="s">
        <v>11</v>
      </c>
    </row>
    <row r="42" spans="2:12" x14ac:dyDescent="0.3">
      <c r="B42" s="5" t="s">
        <v>51</v>
      </c>
      <c r="C42">
        <f>HLOOKUP(B42,Blad2!$1:$1048576,4,FALSE)</f>
        <v>102.1</v>
      </c>
      <c r="D42" s="2">
        <f>HLOOKUP(B42,Blad2!$1:$1048576,5,FALSE)</f>
        <v>71.8</v>
      </c>
      <c r="E42" s="2">
        <f>HLOOKUP(B42,Blad2!$1:$1048576,6,FALSE)</f>
        <v>54</v>
      </c>
      <c r="F42" s="2">
        <f>HLOOKUP(B42,Blad2!$1:$1048576,7,FALSE)</f>
        <v>30.431891166997801</v>
      </c>
      <c r="G42">
        <f>HLOOKUP(B42,Blad2!$1:$1048576,8,FALSE)</f>
        <v>22.846346656644101</v>
      </c>
      <c r="H42">
        <f>HLOOKUP(B42,Blad2!$1:$1048576,9,FALSE)</f>
        <v>13.556466271775101</v>
      </c>
      <c r="J42">
        <v>13.145799999999999</v>
      </c>
      <c r="K42" s="4">
        <v>1.3979999999999999E-3</v>
      </c>
      <c r="L42" t="s">
        <v>11</v>
      </c>
    </row>
    <row r="43" spans="2:12" x14ac:dyDescent="0.3">
      <c r="B43" s="5" t="s">
        <v>52</v>
      </c>
      <c r="C43">
        <f>HLOOKUP(B43,Blad2!$1:$1048576,4,FALSE)</f>
        <v>192.8</v>
      </c>
      <c r="D43" s="2">
        <f>HLOOKUP(B43,Blad2!$1:$1048576,5,FALSE)</f>
        <v>269.89999999999998</v>
      </c>
      <c r="E43" s="2">
        <f>HLOOKUP(B43,Blad2!$1:$1048576,6,FALSE)</f>
        <v>307.3</v>
      </c>
      <c r="F43" s="2">
        <f>HLOOKUP(B43,Blad2!$1:$1048576,7,FALSE)</f>
        <v>45.8058705601997</v>
      </c>
      <c r="G43">
        <f>HLOOKUP(B43,Blad2!$1:$1048576,8,FALSE)</f>
        <v>57.266336824816399</v>
      </c>
      <c r="H43">
        <f>HLOOKUP(B43,Blad2!$1:$1048576,9,FALSE)</f>
        <v>70.312082097523501</v>
      </c>
      <c r="J43">
        <v>12.3202</v>
      </c>
      <c r="K43" s="4">
        <v>2.1120000000000002E-3</v>
      </c>
      <c r="L43" t="s">
        <v>11</v>
      </c>
    </row>
    <row r="44" spans="2:12" x14ac:dyDescent="0.3">
      <c r="B44" s="5" t="s">
        <v>53</v>
      </c>
      <c r="C44">
        <f>HLOOKUP(B44,Blad2!$1:$1048576,4,FALSE)</f>
        <v>96</v>
      </c>
      <c r="D44" s="2">
        <f>HLOOKUP(B44,Blad2!$1:$1048576,5,FALSE)</f>
        <v>68.7</v>
      </c>
      <c r="E44" s="2">
        <f>HLOOKUP(B44,Blad2!$1:$1048576,6,FALSE)</f>
        <v>50.7</v>
      </c>
      <c r="F44" s="2">
        <f>HLOOKUP(B44,Blad2!$1:$1048576,7,FALSE)</f>
        <v>20.520991962161801</v>
      </c>
      <c r="G44">
        <f>HLOOKUP(B44,Blad2!$1:$1048576,8,FALSE)</f>
        <v>34.055673373006201</v>
      </c>
      <c r="H44">
        <f>HLOOKUP(B44,Blad2!$1:$1048576,9,FALSE)</f>
        <v>21.1820154323845</v>
      </c>
      <c r="J44">
        <v>11.8582</v>
      </c>
      <c r="K44" s="4">
        <v>2.6610000000000002E-3</v>
      </c>
      <c r="L44" t="s">
        <v>11</v>
      </c>
    </row>
    <row r="45" spans="2:12" x14ac:dyDescent="0.3">
      <c r="B45" s="5" t="s">
        <v>54</v>
      </c>
      <c r="C45">
        <f>HLOOKUP(B45,Blad2!$1:$1048576,4,FALSE)</f>
        <v>122.1</v>
      </c>
      <c r="D45" s="2">
        <f>HLOOKUP(B45,Blad2!$1:$1048576,5,FALSE)</f>
        <v>87.6</v>
      </c>
      <c r="E45" s="2">
        <f>HLOOKUP(B45,Blad2!$1:$1048576,6,FALSE)</f>
        <v>71</v>
      </c>
      <c r="F45" s="2">
        <f>HLOOKUP(B45,Blad2!$1:$1048576,7,FALSE)</f>
        <v>32.9054200196056</v>
      </c>
      <c r="G45">
        <f>HLOOKUP(B45,Blad2!$1:$1048576,8,FALSE)</f>
        <v>25.342980619229898</v>
      </c>
      <c r="H45">
        <f>HLOOKUP(B45,Blad2!$1:$1048576,9,FALSE)</f>
        <v>15.0775771705315</v>
      </c>
      <c r="J45">
        <v>11.3773</v>
      </c>
      <c r="K45" s="4">
        <v>3.3839999999999999E-3</v>
      </c>
      <c r="L45" t="s">
        <v>11</v>
      </c>
    </row>
    <row r="46" spans="2:12" x14ac:dyDescent="0.3">
      <c r="B46" s="5" t="s">
        <v>55</v>
      </c>
      <c r="C46">
        <f>HLOOKUP(B46,Blad2!$1:$1048576,4,FALSE)</f>
        <v>647</v>
      </c>
      <c r="D46" s="2">
        <f>HLOOKUP(B46,Blad2!$1:$1048576,5,FALSE)</f>
        <v>487.9</v>
      </c>
      <c r="E46" s="2">
        <f>HLOOKUP(B46,Blad2!$1:$1048576,6,FALSE)</f>
        <v>350.8</v>
      </c>
      <c r="F46" s="2">
        <f>HLOOKUP(B46,Blad2!$1:$1048576,7,FALSE)</f>
        <v>167.60270483099799</v>
      </c>
      <c r="G46">
        <f>HLOOKUP(B46,Blad2!$1:$1048576,8,FALSE)</f>
        <v>207.14914111978999</v>
      </c>
      <c r="H46">
        <f>HLOOKUP(B46,Blad2!$1:$1048576,9,FALSE)</f>
        <v>127.559833455171</v>
      </c>
      <c r="J46">
        <v>11.081799999999999</v>
      </c>
      <c r="K46" s="4">
        <v>3.9230000000000003E-3</v>
      </c>
      <c r="L46" t="s">
        <v>11</v>
      </c>
    </row>
    <row r="47" spans="2:12" x14ac:dyDescent="0.3">
      <c r="B47" s="5" t="s">
        <v>56</v>
      </c>
      <c r="C47">
        <f>HLOOKUP(B47,Blad2!$1:$1048576,4,FALSE)</f>
        <v>2.4E-2</v>
      </c>
      <c r="D47" s="2">
        <f>HLOOKUP(B47,Blad2!$1:$1048576,5,FALSE)</f>
        <v>2.0999999999999901E-2</v>
      </c>
      <c r="E47" s="2">
        <f>HLOOKUP(B47,Blad2!$1:$1048576,6,FALSE)</f>
        <v>1.4999999999999999E-2</v>
      </c>
      <c r="F47" s="2">
        <f>HLOOKUP(B47,Blad2!$1:$1048576,7,FALSE)</f>
        <v>9.6609178307929602E-3</v>
      </c>
      <c r="G47">
        <f>HLOOKUP(B47,Blad2!$1:$1048576,8,FALSE)</f>
        <v>3.1622776601683699E-3</v>
      </c>
      <c r="H47">
        <f>HLOOKUP(B47,Blad2!$1:$1048576,9,FALSE)</f>
        <v>5.2704627669472896E-3</v>
      </c>
      <c r="J47">
        <v>10.837199999999999</v>
      </c>
      <c r="K47" s="4">
        <v>4.4330000000000003E-3</v>
      </c>
      <c r="L47" t="s">
        <v>11</v>
      </c>
    </row>
    <row r="48" spans="2:12" x14ac:dyDescent="0.3">
      <c r="B48" s="5" t="s">
        <v>57</v>
      </c>
      <c r="C48">
        <f>HLOOKUP(B48,Blad2!$1:$1048576,4,FALSE)</f>
        <v>130.19999999999999</v>
      </c>
      <c r="D48" s="2">
        <f>HLOOKUP(B48,Blad2!$1:$1048576,5,FALSE)</f>
        <v>158.69999999999999</v>
      </c>
      <c r="E48" s="2">
        <f>HLOOKUP(B48,Blad2!$1:$1048576,6,FALSE)</f>
        <v>172.1</v>
      </c>
      <c r="F48" s="2">
        <f>HLOOKUP(B48,Blad2!$1:$1048576,7,FALSE)</f>
        <v>30.198601880808202</v>
      </c>
      <c r="G48">
        <f>HLOOKUP(B48,Blad2!$1:$1048576,8,FALSE)</f>
        <v>20.000277775848701</v>
      </c>
      <c r="H48">
        <f>HLOOKUP(B48,Blad2!$1:$1048576,9,FALSE)</f>
        <v>14.843255108709201</v>
      </c>
      <c r="J48">
        <v>10.574400000000001</v>
      </c>
      <c r="K48" s="4">
        <v>5.0559999999999997E-3</v>
      </c>
      <c r="L48" t="s">
        <v>11</v>
      </c>
    </row>
    <row r="49" spans="2:12" x14ac:dyDescent="0.3">
      <c r="B49" s="5" t="s">
        <v>58</v>
      </c>
      <c r="C49">
        <f>HLOOKUP(B49,Blad2!$1:$1048576,4,FALSE)</f>
        <v>131.9</v>
      </c>
      <c r="D49" s="2">
        <f>HLOOKUP(B49,Blad2!$1:$1048576,5,FALSE)</f>
        <v>86.5</v>
      </c>
      <c r="E49" s="2">
        <f>HLOOKUP(B49,Blad2!$1:$1048576,6,FALSE)</f>
        <v>65.2</v>
      </c>
      <c r="F49" s="2">
        <f>HLOOKUP(B49,Blad2!$1:$1048576,7,FALSE)</f>
        <v>38.822816887896103</v>
      </c>
      <c r="G49">
        <f>HLOOKUP(B49,Blad2!$1:$1048576,8,FALSE)</f>
        <v>56.866803438678801</v>
      </c>
      <c r="H49">
        <f>HLOOKUP(B49,Blad2!$1:$1048576,9,FALSE)</f>
        <v>30.745550716955499</v>
      </c>
      <c r="J49">
        <v>10.3947</v>
      </c>
      <c r="K49" s="4">
        <v>5.5310000000000003E-3</v>
      </c>
      <c r="L49" t="s">
        <v>11</v>
      </c>
    </row>
    <row r="50" spans="2:12" x14ac:dyDescent="0.3">
      <c r="B50" s="5" t="s">
        <v>59</v>
      </c>
      <c r="C50">
        <f>HLOOKUP(B50,Blad2!$1:$1048576,4,FALSE)</f>
        <v>60.2</v>
      </c>
      <c r="D50" s="2">
        <f>HLOOKUP(B50,Blad2!$1:$1048576,5,FALSE)</f>
        <v>61.2</v>
      </c>
      <c r="E50" s="2">
        <f>HLOOKUP(B50,Blad2!$1:$1048576,6,FALSE)</f>
        <v>63.1</v>
      </c>
      <c r="F50" s="2">
        <f>HLOOKUP(B50,Blad2!$1:$1048576,7,FALSE)</f>
        <v>1.2292725943057099</v>
      </c>
      <c r="G50">
        <f>HLOOKUP(B50,Blad2!$1:$1048576,8,FALSE)</f>
        <v>1.3984117975602</v>
      </c>
      <c r="H50">
        <f>HLOOKUP(B50,Blad2!$1:$1048576,9,FALSE)</f>
        <v>2.60128173535022</v>
      </c>
      <c r="J50">
        <v>10.301299999999999</v>
      </c>
      <c r="K50" s="4">
        <v>5.7959999999999999E-3</v>
      </c>
      <c r="L50" t="s">
        <v>11</v>
      </c>
    </row>
    <row r="51" spans="2:12" x14ac:dyDescent="0.3">
      <c r="B51" s="5" t="s">
        <v>60</v>
      </c>
      <c r="C51">
        <f>HLOOKUP(B51,Blad2!$1:$1048576,4,FALSE)</f>
        <v>127.3</v>
      </c>
      <c r="D51" s="2">
        <f>HLOOKUP(B51,Blad2!$1:$1048576,5,FALSE)</f>
        <v>85.4</v>
      </c>
      <c r="E51" s="2">
        <f>HLOOKUP(B51,Blad2!$1:$1048576,6,FALSE)</f>
        <v>69.400000000000006</v>
      </c>
      <c r="F51" s="2">
        <f>HLOOKUP(B51,Blad2!$1:$1048576,7,FALSE)</f>
        <v>34.493316582910502</v>
      </c>
      <c r="G51">
        <f>HLOOKUP(B51,Blad2!$1:$1048576,8,FALSE)</f>
        <v>40.754549848247997</v>
      </c>
      <c r="H51">
        <f>HLOOKUP(B51,Blad2!$1:$1048576,9,FALSE)</f>
        <v>22.101784744424702</v>
      </c>
      <c r="J51">
        <v>9.8515999999999995</v>
      </c>
      <c r="K51" s="4">
        <v>7.2570000000000004E-3</v>
      </c>
      <c r="L51" t="s">
        <v>11</v>
      </c>
    </row>
    <row r="52" spans="2:12" x14ac:dyDescent="0.3">
      <c r="B52" s="5" t="s">
        <v>61</v>
      </c>
      <c r="C52">
        <f>HLOOKUP(B52,Blad2!$1:$1048576,4,FALSE)</f>
        <v>7.3999999999999996E-2</v>
      </c>
      <c r="D52" s="2">
        <f>HLOOKUP(B52,Blad2!$1:$1048576,5,FALSE)</f>
        <v>0.10199999999999999</v>
      </c>
      <c r="E52" s="2">
        <f>HLOOKUP(B52,Blad2!$1:$1048576,6,FALSE)</f>
        <v>2.9000000000000001E-2</v>
      </c>
      <c r="F52" s="2">
        <f>HLOOKUP(B52,Blad2!$1:$1048576,7,FALSE)</f>
        <v>3.5652645218989101E-2</v>
      </c>
      <c r="G52">
        <f>HLOOKUP(B52,Blad2!$1:$1048576,8,FALSE)</f>
        <v>8.0249610590955506E-2</v>
      </c>
      <c r="H52">
        <f>HLOOKUP(B52,Blad2!$1:$1048576,9,FALSE)</f>
        <v>1.6633299933166101E-2</v>
      </c>
      <c r="J52">
        <v>9.0940999999999992</v>
      </c>
      <c r="K52" s="4">
        <v>1.0598E-2</v>
      </c>
      <c r="L52" t="s">
        <v>11</v>
      </c>
    </row>
    <row r="53" spans="2:12" x14ac:dyDescent="0.3">
      <c r="B53" s="5" t="s">
        <v>62</v>
      </c>
      <c r="C53">
        <f>HLOOKUP(B53,Blad2!$1:$1048576,4,FALSE)</f>
        <v>55.924999999999997</v>
      </c>
      <c r="D53" s="2">
        <f>HLOOKUP(B53,Blad2!$1:$1048576,5,FALSE)</f>
        <v>58.015000000000001</v>
      </c>
      <c r="E53" s="2">
        <f>HLOOKUP(B53,Blad2!$1:$1048576,6,FALSE)</f>
        <v>53.153999999999897</v>
      </c>
      <c r="F53" s="2">
        <f>HLOOKUP(B53,Blad2!$1:$1048576,7,FALSE)</f>
        <v>2.00958951032294</v>
      </c>
      <c r="G53">
        <f>HLOOKUP(B53,Blad2!$1:$1048576,8,FALSE)</f>
        <v>2.2781242283949301</v>
      </c>
      <c r="H53">
        <f>HLOOKUP(B53,Blad2!$1:$1048576,9,FALSE)</f>
        <v>4.3207566209840698</v>
      </c>
      <c r="J53">
        <v>8.1831999999999994</v>
      </c>
      <c r="K53" s="4">
        <v>1.6712000000000001E-2</v>
      </c>
      <c r="L53" t="s">
        <v>11</v>
      </c>
    </row>
    <row r="54" spans="2:12" x14ac:dyDescent="0.3">
      <c r="B54" s="5" t="s">
        <v>63</v>
      </c>
      <c r="C54">
        <f>HLOOKUP(B54,Blad2!$1:$1048576,4,FALSE)</f>
        <v>12.6</v>
      </c>
      <c r="D54" s="2">
        <f>HLOOKUP(B54,Blad2!$1:$1048576,5,FALSE)</f>
        <v>9.1</v>
      </c>
      <c r="E54" s="2">
        <f>HLOOKUP(B54,Blad2!$1:$1048576,6,FALSE)</f>
        <v>10.3</v>
      </c>
      <c r="F54" s="2">
        <f>HLOOKUP(B54,Blad2!$1:$1048576,7,FALSE)</f>
        <v>2.41292814278051</v>
      </c>
      <c r="G54">
        <f>HLOOKUP(B54,Blad2!$1:$1048576,8,FALSE)</f>
        <v>3.3813212407775302</v>
      </c>
      <c r="H54">
        <f>HLOOKUP(B54,Blad2!$1:$1048576,9,FALSE)</f>
        <v>2.7908580918579302</v>
      </c>
      <c r="J54">
        <v>6.1692999999999998</v>
      </c>
      <c r="K54" s="4">
        <v>4.5746000000000002E-2</v>
      </c>
      <c r="L54" t="s">
        <v>11</v>
      </c>
    </row>
    <row r="55" spans="2:12" x14ac:dyDescent="0.3">
      <c r="B55" s="5" t="s">
        <v>64</v>
      </c>
      <c r="C55">
        <f>HLOOKUP(B55,Blad2!$1:$1048576,4,FALSE)</f>
        <v>92.5</v>
      </c>
      <c r="D55" s="2">
        <f>HLOOKUP(B55,Blad2!$1:$1048576,5,FALSE)</f>
        <v>92.7</v>
      </c>
      <c r="E55" s="2">
        <f>HLOOKUP(B55,Blad2!$1:$1048576,6,FALSE)</f>
        <v>89.8</v>
      </c>
      <c r="F55" s="2">
        <f>HLOOKUP(B55,Blad2!$1:$1048576,7,FALSE)</f>
        <v>1.26929551764398</v>
      </c>
      <c r="G55">
        <f>HLOOKUP(B55,Blad2!$1:$1048576,8,FALSE)</f>
        <v>1.49443411809732</v>
      </c>
      <c r="H55">
        <f>HLOOKUP(B55,Blad2!$1:$1048576,9,FALSE)</f>
        <v>3.6453928305312799</v>
      </c>
      <c r="J55">
        <v>5.5529999999999999</v>
      </c>
      <c r="K55" s="4">
        <v>6.2255999999999999E-2</v>
      </c>
      <c r="L55" t="s">
        <v>65</v>
      </c>
    </row>
    <row r="56" spans="2:12" x14ac:dyDescent="0.3">
      <c r="B56" s="5" t="s">
        <v>66</v>
      </c>
      <c r="C56">
        <f>HLOOKUP(B56,Blad2!$1:$1048576,4,FALSE)</f>
        <v>62.1</v>
      </c>
      <c r="D56" s="2">
        <f>HLOOKUP(B56,Blad2!$1:$1048576,5,FALSE)</f>
        <v>63.3</v>
      </c>
      <c r="E56" s="2">
        <f>HLOOKUP(B56,Blad2!$1:$1048576,6,FALSE)</f>
        <v>63.5</v>
      </c>
      <c r="F56" s="2">
        <f>HLOOKUP(B56,Blad2!$1:$1048576,7,FALSE)</f>
        <v>1.52388392675499</v>
      </c>
      <c r="G56">
        <f>HLOOKUP(B56,Blad2!$1:$1048576,8,FALSE)</f>
        <v>1.5670212364724201</v>
      </c>
      <c r="H56">
        <f>HLOOKUP(B56,Blad2!$1:$1048576,9,FALSE)</f>
        <v>1.1785113019775699</v>
      </c>
      <c r="J56">
        <v>4.6600999999999999</v>
      </c>
      <c r="K56" s="4">
        <v>9.7293000000000004E-2</v>
      </c>
      <c r="L56" t="s">
        <v>65</v>
      </c>
    </row>
    <row r="57" spans="2:12" x14ac:dyDescent="0.3">
      <c r="B57" s="5" t="s">
        <v>67</v>
      </c>
      <c r="C57">
        <f>HLOOKUP(B57,Blad2!$1:$1048576,4,FALSE)</f>
        <v>60.5</v>
      </c>
      <c r="D57" s="2">
        <f>HLOOKUP(B57,Blad2!$1:$1048576,5,FALSE)</f>
        <v>60.3</v>
      </c>
      <c r="E57" s="2">
        <f>HLOOKUP(B57,Blad2!$1:$1048576,6,FALSE)</f>
        <v>58.1</v>
      </c>
      <c r="F57" s="2">
        <f>HLOOKUP(B57,Blad2!$1:$1048576,7,FALSE)</f>
        <v>2.22361067735438</v>
      </c>
      <c r="G57">
        <f>HLOOKUP(B57,Blad2!$1:$1048576,8,FALSE)</f>
        <v>2.26323269290239</v>
      </c>
      <c r="H57">
        <f>HLOOKUP(B57,Blad2!$1:$1048576,9,FALSE)</f>
        <v>3.0349812373573402</v>
      </c>
      <c r="J57">
        <v>4.3643999999999998</v>
      </c>
      <c r="K57" s="4">
        <v>0.112791</v>
      </c>
      <c r="L57" t="s">
        <v>65</v>
      </c>
    </row>
    <row r="58" spans="2:12" x14ac:dyDescent="0.3">
      <c r="B58" s="5" t="s">
        <v>68</v>
      </c>
      <c r="C58">
        <f>HLOOKUP(B58,Blad2!$1:$1048576,4,FALSE)</f>
        <v>96</v>
      </c>
      <c r="D58" s="2">
        <f>HLOOKUP(B58,Blad2!$1:$1048576,5,FALSE)</f>
        <v>77.8</v>
      </c>
      <c r="E58" s="2">
        <f>HLOOKUP(B58,Blad2!$1:$1048576,6,FALSE)</f>
        <v>72.2</v>
      </c>
      <c r="F58" s="2">
        <f>HLOOKUP(B58,Blad2!$1:$1048576,7,FALSE)</f>
        <v>20.520991962161801</v>
      </c>
      <c r="G58">
        <f>HLOOKUP(B58,Blad2!$1:$1048576,8,FALSE)</f>
        <v>35.946874381199997</v>
      </c>
      <c r="H58">
        <f>HLOOKUP(B58,Blad2!$1:$1048576,9,FALSE)</f>
        <v>25.398162663205898</v>
      </c>
      <c r="J58">
        <v>4.0476000000000001</v>
      </c>
      <c r="K58" s="4">
        <v>0.13215199999999999</v>
      </c>
      <c r="L58" t="s">
        <v>65</v>
      </c>
    </row>
    <row r="59" spans="2:12" x14ac:dyDescent="0.3">
      <c r="B59" s="5" t="s">
        <v>69</v>
      </c>
      <c r="C59">
        <f>HLOOKUP(B59,Blad2!$1:$1048576,4,FALSE)</f>
        <v>46.894999999999897</v>
      </c>
      <c r="D59" s="2">
        <f>HLOOKUP(B59,Blad2!$1:$1048576,5,FALSE)</f>
        <v>49.719000000000001</v>
      </c>
      <c r="E59" s="2">
        <f>HLOOKUP(B59,Blad2!$1:$1048576,6,FALSE)</f>
        <v>47.503999999999998</v>
      </c>
      <c r="F59" s="2">
        <f>HLOOKUP(B59,Blad2!$1:$1048576,7,FALSE)</f>
        <v>1.69774523674457</v>
      </c>
      <c r="G59">
        <f>HLOOKUP(B59,Blad2!$1:$1048576,8,FALSE)</f>
        <v>2.9870477807434601</v>
      </c>
      <c r="H59">
        <f>HLOOKUP(B59,Blad2!$1:$1048576,9,FALSE)</f>
        <v>4.1272433630424299</v>
      </c>
      <c r="J59">
        <v>3.92</v>
      </c>
      <c r="K59" s="4">
        <v>0.14085800000000001</v>
      </c>
      <c r="L59" t="s">
        <v>65</v>
      </c>
    </row>
    <row r="60" spans="2:12" x14ac:dyDescent="0.3">
      <c r="B60" s="5" t="s">
        <v>70</v>
      </c>
      <c r="C60">
        <f>HLOOKUP(B60,Blad2!$1:$1048576,4,FALSE)</f>
        <v>64.5</v>
      </c>
      <c r="D60" s="2">
        <f>HLOOKUP(B60,Blad2!$1:$1048576,5,FALSE)</f>
        <v>64.099999999999994</v>
      </c>
      <c r="E60" s="2">
        <f>HLOOKUP(B60,Blad2!$1:$1048576,6,FALSE)</f>
        <v>61</v>
      </c>
      <c r="F60" s="2">
        <f>HLOOKUP(B60,Blad2!$1:$1048576,7,FALSE)</f>
        <v>3.6590830666833498</v>
      </c>
      <c r="G60">
        <f>HLOOKUP(B60,Blad2!$1:$1048576,8,FALSE)</f>
        <v>4.45845015423272</v>
      </c>
      <c r="H60">
        <f>HLOOKUP(B60,Blad2!$1:$1048576,9,FALSE)</f>
        <v>4.5704364002673596</v>
      </c>
      <c r="J60">
        <v>3.9011</v>
      </c>
      <c r="K60" s="4">
        <v>0.14219300000000001</v>
      </c>
      <c r="L60" t="s">
        <v>65</v>
      </c>
    </row>
    <row r="61" spans="2:12" x14ac:dyDescent="0.3">
      <c r="B61" s="5" t="s">
        <v>71</v>
      </c>
      <c r="C61">
        <f>HLOOKUP(B61,Blad2!$1:$1048576,4,FALSE)</f>
        <v>1.2090000000000001</v>
      </c>
      <c r="D61" s="2">
        <f>HLOOKUP(B61,Blad2!$1:$1048576,5,FALSE)</f>
        <v>0.88500000000000001</v>
      </c>
      <c r="E61" s="2">
        <f>HLOOKUP(B61,Blad2!$1:$1048576,6,FALSE)</f>
        <v>0.86499999999999999</v>
      </c>
      <c r="F61" s="2">
        <f>HLOOKUP(B61,Blad2!$1:$1048576,7,FALSE)</f>
        <v>0.41937652135839298</v>
      </c>
      <c r="G61">
        <f>HLOOKUP(B61,Blad2!$1:$1048576,8,FALSE)</f>
        <v>0.39218051399267001</v>
      </c>
      <c r="H61">
        <f>HLOOKUP(B61,Blad2!$1:$1048576,9,FALSE)</f>
        <v>0.32928373445674097</v>
      </c>
      <c r="J61">
        <v>3.4411999999999998</v>
      </c>
      <c r="K61" s="4">
        <v>0.178955</v>
      </c>
      <c r="L61" t="s">
        <v>65</v>
      </c>
    </row>
    <row r="62" spans="2:12" x14ac:dyDescent="0.3">
      <c r="B62" s="5" t="s">
        <v>72</v>
      </c>
      <c r="C62">
        <f>HLOOKUP(B62,Blad2!$1:$1048576,4,FALSE)</f>
        <v>40.132999999999903</v>
      </c>
      <c r="D62" s="2">
        <f>HLOOKUP(B62,Blad2!$1:$1048576,5,FALSE)</f>
        <v>41.847000000000001</v>
      </c>
      <c r="E62" s="2">
        <f>HLOOKUP(B62,Blad2!$1:$1048576,6,FALSE)</f>
        <v>36.200000000000003</v>
      </c>
      <c r="F62" s="2">
        <f>HLOOKUP(B62,Blad2!$1:$1048576,7,FALSE)</f>
        <v>7.9744843790122903</v>
      </c>
      <c r="G62">
        <f>HLOOKUP(B62,Blad2!$1:$1048576,8,FALSE)</f>
        <v>12.3689486214471</v>
      </c>
      <c r="H62">
        <f>HLOOKUP(B62,Blad2!$1:$1048576,9,FALSE)</f>
        <v>8.6750792503584595</v>
      </c>
      <c r="J62">
        <v>2.3871000000000002</v>
      </c>
      <c r="K62" s="4">
        <v>0.30314400000000002</v>
      </c>
      <c r="L62" t="s">
        <v>65</v>
      </c>
    </row>
    <row r="63" spans="2:12" x14ac:dyDescent="0.3">
      <c r="B63" s="5" t="s">
        <v>73</v>
      </c>
      <c r="C63">
        <f>HLOOKUP(B63,Blad2!$1:$1048576,4,FALSE)</f>
        <v>197.6</v>
      </c>
      <c r="D63" s="2">
        <f>HLOOKUP(B63,Blad2!$1:$1048576,5,FALSE)</f>
        <v>206.1</v>
      </c>
      <c r="E63" s="2">
        <f>HLOOKUP(B63,Blad2!$1:$1048576,6,FALSE)</f>
        <v>194.2</v>
      </c>
      <c r="F63" s="2">
        <f>HLOOKUP(B63,Blad2!$1:$1048576,7,FALSE)</f>
        <v>20.0066655559257</v>
      </c>
      <c r="G63">
        <f>HLOOKUP(B63,Blad2!$1:$1048576,8,FALSE)</f>
        <v>16.602877929911799</v>
      </c>
      <c r="H63">
        <f>HLOOKUP(B63,Blad2!$1:$1048576,9,FALSE)</f>
        <v>16.784913861361701</v>
      </c>
      <c r="J63">
        <v>2.3679000000000001</v>
      </c>
      <c r="K63" s="4">
        <v>0.30606499999999998</v>
      </c>
      <c r="L63" t="s">
        <v>65</v>
      </c>
    </row>
    <row r="64" spans="2:12" x14ac:dyDescent="0.3">
      <c r="B64" s="5" t="s">
        <v>74</v>
      </c>
      <c r="C64">
        <f>HLOOKUP(B64,Blad2!$1:$1048576,4,FALSE)</f>
        <v>8.5950000000000006</v>
      </c>
      <c r="D64" s="2">
        <f>HLOOKUP(B64,Blad2!$1:$1048576,5,FALSE)</f>
        <v>9.6859999999999999</v>
      </c>
      <c r="E64" s="2">
        <f>HLOOKUP(B64,Blad2!$1:$1048576,6,FALSE)</f>
        <v>8.3780000000000001</v>
      </c>
      <c r="F64" s="2">
        <f>HLOOKUP(B64,Blad2!$1:$1048576,7,FALSE)</f>
        <v>1.42171453612257</v>
      </c>
      <c r="G64">
        <f>HLOOKUP(B64,Blad2!$1:$1048576,8,FALSE)</f>
        <v>2.2228620190096202</v>
      </c>
      <c r="H64">
        <f>HLOOKUP(B64,Blad2!$1:$1048576,9,FALSE)</f>
        <v>1.42814409481521</v>
      </c>
      <c r="J64">
        <v>1.8707</v>
      </c>
      <c r="K64" s="4">
        <v>0.39244099999999998</v>
      </c>
      <c r="L64" t="s">
        <v>65</v>
      </c>
    </row>
    <row r="65" spans="2:12" x14ac:dyDescent="0.3">
      <c r="B65" s="5" t="s">
        <v>75</v>
      </c>
      <c r="C65">
        <f>HLOOKUP(B65,Blad2!$1:$1048576,4,FALSE)</f>
        <v>33.299999999999997</v>
      </c>
      <c r="D65" s="2">
        <f>HLOOKUP(B65,Blad2!$1:$1048576,5,FALSE)</f>
        <v>22.3</v>
      </c>
      <c r="E65" s="2">
        <f>HLOOKUP(B65,Blad2!$1:$1048576,6,FALSE)</f>
        <v>27.2</v>
      </c>
      <c r="F65" s="2">
        <f>HLOOKUP(B65,Blad2!$1:$1048576,7,FALSE)</f>
        <v>19.1488322823554</v>
      </c>
      <c r="G65">
        <f>HLOOKUP(B65,Blad2!$1:$1048576,8,FALSE)</f>
        <v>19.436792145024501</v>
      </c>
      <c r="H65">
        <f>HLOOKUP(B65,Blad2!$1:$1048576,9,FALSE)</f>
        <v>15.0761032395274</v>
      </c>
      <c r="J65">
        <v>1.8211999999999999</v>
      </c>
      <c r="K65" s="4">
        <v>0.40228000000000003</v>
      </c>
      <c r="L65" t="s">
        <v>65</v>
      </c>
    </row>
    <row r="66" spans="2:12" x14ac:dyDescent="0.3">
      <c r="B66" s="5" t="s">
        <v>76</v>
      </c>
      <c r="C66">
        <f>HLOOKUP(B66,Blad2!$1:$1048576,4,FALSE)</f>
        <v>28.170999999999999</v>
      </c>
      <c r="D66" s="2">
        <f>HLOOKUP(B66,Blad2!$1:$1048576,5,FALSE)</f>
        <v>31.841999999999999</v>
      </c>
      <c r="E66" s="2">
        <f>HLOOKUP(B66,Blad2!$1:$1048576,6,FALSE)</f>
        <v>29.664999999999999</v>
      </c>
      <c r="F66" s="2">
        <f>HLOOKUP(B66,Blad2!$1:$1048576,7,FALSE)</f>
        <v>2.3906133569070098</v>
      </c>
      <c r="G66">
        <f>HLOOKUP(B66,Blad2!$1:$1048576,8,FALSE)</f>
        <v>6.9757911538564699</v>
      </c>
      <c r="H66">
        <f>HLOOKUP(B66,Blad2!$1:$1048576,9,FALSE)</f>
        <v>3.0422624987188498</v>
      </c>
      <c r="J66">
        <v>1.4116</v>
      </c>
      <c r="K66" s="4">
        <v>0.49370999999999998</v>
      </c>
      <c r="L66" t="s">
        <v>65</v>
      </c>
    </row>
    <row r="67" spans="2:12" x14ac:dyDescent="0.3">
      <c r="B67" s="5" t="s">
        <v>77</v>
      </c>
      <c r="C67">
        <f>HLOOKUP(B67,Blad2!$1:$1048576,4,FALSE)</f>
        <v>15.518000000000001</v>
      </c>
      <c r="D67" s="2">
        <f>HLOOKUP(B67,Blad2!$1:$1048576,5,FALSE)</f>
        <v>16.567</v>
      </c>
      <c r="E67" s="2">
        <f>HLOOKUP(B67,Blad2!$1:$1048576,6,FALSE)</f>
        <v>16.917000000000002</v>
      </c>
      <c r="F67" s="2">
        <f>HLOOKUP(B67,Blad2!$1:$1048576,7,FALSE)</f>
        <v>3.1325630258801</v>
      </c>
      <c r="G67">
        <f>HLOOKUP(B67,Blad2!$1:$1048576,8,FALSE)</f>
        <v>5.1414504006381501</v>
      </c>
      <c r="H67">
        <f>HLOOKUP(B67,Blad2!$1:$1048576,9,FALSE)</f>
        <v>2.96505592977041</v>
      </c>
      <c r="J67">
        <v>0.7974</v>
      </c>
      <c r="K67" s="4">
        <v>0.67118599999999995</v>
      </c>
      <c r="L67" t="s">
        <v>65</v>
      </c>
    </row>
    <row r="68" spans="2:12" x14ac:dyDescent="0.3">
      <c r="B68" s="5" t="s">
        <v>78</v>
      </c>
      <c r="C68">
        <f>HLOOKUP(B68,Blad2!$1:$1048576,4,FALSE)</f>
        <v>69.043000000000006</v>
      </c>
      <c r="D68" s="2">
        <f>HLOOKUP(B68,Blad2!$1:$1048576,5,FALSE)</f>
        <v>64.111999999999995</v>
      </c>
      <c r="E68" s="2">
        <f>HLOOKUP(B68,Blad2!$1:$1048576,6,FALSE)</f>
        <v>64.807000000000002</v>
      </c>
      <c r="F68" s="2">
        <f>HLOOKUP(B68,Blad2!$1:$1048576,7,FALSE)</f>
        <v>21.636787628686601</v>
      </c>
      <c r="G68">
        <f>HLOOKUP(B68,Blad2!$1:$1048576,8,FALSE)</f>
        <v>23.507190294791801</v>
      </c>
      <c r="H68">
        <f>HLOOKUP(B68,Blad2!$1:$1048576,9,FALSE)</f>
        <v>21.678106236477301</v>
      </c>
      <c r="J68">
        <v>0.33289999999999997</v>
      </c>
      <c r="K68" s="4">
        <v>0.84666399999999997</v>
      </c>
      <c r="L68" t="s">
        <v>65</v>
      </c>
    </row>
    <row r="69" spans="2:12" x14ac:dyDescent="0.3">
      <c r="B69" s="5" t="s">
        <v>79</v>
      </c>
      <c r="C69">
        <f>HLOOKUP(B69,Blad2!$1:$1048576,4,FALSE)</f>
        <v>7.444</v>
      </c>
      <c r="D69" s="2">
        <f>HLOOKUP(B69,Blad2!$1:$1048576,5,FALSE)</f>
        <v>8.2409999999999997</v>
      </c>
      <c r="E69" s="2">
        <f>HLOOKUP(B69,Blad2!$1:$1048576,6,FALSE)</f>
        <v>7.4180000000000001</v>
      </c>
      <c r="F69" s="2">
        <f>HLOOKUP(B69,Blad2!$1:$1048576,7,FALSE)</f>
        <v>0.73481970577822597</v>
      </c>
      <c r="G69">
        <f>HLOOKUP(B69,Blad2!$1:$1048576,8,FALSE)</f>
        <v>2.46673175589798</v>
      </c>
      <c r="H69">
        <f>HLOOKUP(B69,Blad2!$1:$1048576,9,FALSE)</f>
        <v>1.2803194045931501</v>
      </c>
      <c r="J69">
        <v>7.2300000000000003E-2</v>
      </c>
      <c r="K69" s="4">
        <v>0.96451600000000004</v>
      </c>
      <c r="L69" t="s">
        <v>65</v>
      </c>
    </row>
    <row r="70" spans="2:12" x14ac:dyDescent="0.3">
      <c r="B70" s="5"/>
      <c r="D70" s="2"/>
      <c r="E70" s="2"/>
      <c r="F70" s="2"/>
    </row>
    <row r="71" spans="2:12" x14ac:dyDescent="0.3">
      <c r="B71" s="5"/>
      <c r="D71" s="2"/>
      <c r="E71" s="2"/>
      <c r="F71" s="2"/>
    </row>
    <row r="72" spans="2:12" x14ac:dyDescent="0.3">
      <c r="B72" s="5"/>
      <c r="D72" s="2"/>
      <c r="E72" s="2"/>
      <c r="F72" s="2"/>
    </row>
    <row r="73" spans="2:12" x14ac:dyDescent="0.3">
      <c r="B7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68C39-AA4B-439C-9ED1-E0757C66A49D}">
  <dimension ref="A1:JY36"/>
  <sheetViews>
    <sheetView topLeftCell="JA1" workbookViewId="0">
      <selection activeCell="JP24" sqref="JP24"/>
    </sheetView>
  </sheetViews>
  <sheetFormatPr defaultRowHeight="14.4" x14ac:dyDescent="0.3"/>
  <cols>
    <col min="1" max="1" width="36.5546875" bestFit="1" customWidth="1"/>
    <col min="2" max="2" width="20.109375" customWidth="1"/>
    <col min="3" max="3" width="19.88671875" bestFit="1" customWidth="1"/>
  </cols>
  <sheetData>
    <row r="1" spans="1:285" x14ac:dyDescent="0.3">
      <c r="A1" s="1"/>
      <c r="B1" t="s">
        <v>10</v>
      </c>
      <c r="C1" t="s">
        <v>10</v>
      </c>
      <c r="D1" t="s">
        <v>10</v>
      </c>
      <c r="E1" t="s">
        <v>10</v>
      </c>
      <c r="F1" t="s">
        <v>49</v>
      </c>
      <c r="G1" t="s">
        <v>49</v>
      </c>
      <c r="H1" t="s">
        <v>49</v>
      </c>
      <c r="I1" t="s">
        <v>49</v>
      </c>
      <c r="J1" t="s">
        <v>45</v>
      </c>
      <c r="K1" t="s">
        <v>45</v>
      </c>
      <c r="L1" t="s">
        <v>45</v>
      </c>
      <c r="M1" t="s">
        <v>45</v>
      </c>
      <c r="N1" t="s">
        <v>12</v>
      </c>
      <c r="O1" t="s">
        <v>12</v>
      </c>
      <c r="P1" t="s">
        <v>12</v>
      </c>
      <c r="Q1" t="s">
        <v>12</v>
      </c>
      <c r="R1" t="s">
        <v>58</v>
      </c>
      <c r="S1" t="s">
        <v>58</v>
      </c>
      <c r="T1" t="s">
        <v>58</v>
      </c>
      <c r="U1" t="s">
        <v>58</v>
      </c>
      <c r="V1" t="s">
        <v>44</v>
      </c>
      <c r="W1" t="s">
        <v>44</v>
      </c>
      <c r="X1" t="s">
        <v>44</v>
      </c>
      <c r="Y1" t="s">
        <v>44</v>
      </c>
      <c r="Z1" t="s">
        <v>13</v>
      </c>
      <c r="AA1" t="s">
        <v>13</v>
      </c>
      <c r="AB1" t="s">
        <v>13</v>
      </c>
      <c r="AC1" t="s">
        <v>13</v>
      </c>
      <c r="AD1" t="s">
        <v>68</v>
      </c>
      <c r="AE1" t="s">
        <v>68</v>
      </c>
      <c r="AF1" t="s">
        <v>68</v>
      </c>
      <c r="AG1" t="s">
        <v>68</v>
      </c>
      <c r="AH1" t="s">
        <v>73</v>
      </c>
      <c r="AI1" t="s">
        <v>73</v>
      </c>
      <c r="AJ1" t="s">
        <v>73</v>
      </c>
      <c r="AK1" t="s">
        <v>73</v>
      </c>
      <c r="AL1" t="s">
        <v>14</v>
      </c>
      <c r="AM1" t="s">
        <v>14</v>
      </c>
      <c r="AN1" t="s">
        <v>14</v>
      </c>
      <c r="AO1" t="s">
        <v>14</v>
      </c>
      <c r="AP1" t="s">
        <v>53</v>
      </c>
      <c r="AQ1" t="s">
        <v>53</v>
      </c>
      <c r="AR1" t="s">
        <v>53</v>
      </c>
      <c r="AS1" t="s">
        <v>53</v>
      </c>
      <c r="AT1" t="s">
        <v>37</v>
      </c>
      <c r="AU1" t="s">
        <v>37</v>
      </c>
      <c r="AV1" t="s">
        <v>37</v>
      </c>
      <c r="AW1" t="s">
        <v>37</v>
      </c>
      <c r="AX1" t="s">
        <v>80</v>
      </c>
      <c r="AY1" t="s">
        <v>80</v>
      </c>
      <c r="AZ1" t="s">
        <v>80</v>
      </c>
      <c r="BA1" t="s">
        <v>80</v>
      </c>
      <c r="BB1" t="s">
        <v>28</v>
      </c>
      <c r="BC1" t="s">
        <v>28</v>
      </c>
      <c r="BD1" t="s">
        <v>28</v>
      </c>
      <c r="BE1" t="s">
        <v>28</v>
      </c>
      <c r="BF1" t="s">
        <v>57</v>
      </c>
      <c r="BG1" t="s">
        <v>57</v>
      </c>
      <c r="BH1" t="s">
        <v>57</v>
      </c>
      <c r="BI1" t="s">
        <v>57</v>
      </c>
      <c r="BJ1" t="s">
        <v>16</v>
      </c>
      <c r="BK1" t="s">
        <v>16</v>
      </c>
      <c r="BL1" t="s">
        <v>16</v>
      </c>
      <c r="BM1" t="s">
        <v>16</v>
      </c>
      <c r="BN1" t="s">
        <v>15</v>
      </c>
      <c r="BO1" t="s">
        <v>15</v>
      </c>
      <c r="BP1" t="s">
        <v>15</v>
      </c>
      <c r="BQ1" t="s">
        <v>15</v>
      </c>
      <c r="BR1" t="s">
        <v>36</v>
      </c>
      <c r="BS1" t="s">
        <v>36</v>
      </c>
      <c r="BT1" t="s">
        <v>36</v>
      </c>
      <c r="BU1" t="s">
        <v>36</v>
      </c>
      <c r="BV1" t="s">
        <v>55</v>
      </c>
      <c r="BW1" t="s">
        <v>55</v>
      </c>
      <c r="BX1" t="s">
        <v>55</v>
      </c>
      <c r="BY1" t="s">
        <v>55</v>
      </c>
      <c r="BZ1" t="s">
        <v>63</v>
      </c>
      <c r="CA1" t="s">
        <v>63</v>
      </c>
      <c r="CB1" t="s">
        <v>63</v>
      </c>
      <c r="CC1" t="s">
        <v>63</v>
      </c>
      <c r="CD1" t="s">
        <v>54</v>
      </c>
      <c r="CE1" t="s">
        <v>54</v>
      </c>
      <c r="CF1" t="s">
        <v>54</v>
      </c>
      <c r="CG1" t="s">
        <v>54</v>
      </c>
      <c r="CH1" t="s">
        <v>51</v>
      </c>
      <c r="CI1" t="s">
        <v>51</v>
      </c>
      <c r="CJ1" t="s">
        <v>51</v>
      </c>
      <c r="CK1" t="s">
        <v>51</v>
      </c>
      <c r="CL1" t="s">
        <v>17</v>
      </c>
      <c r="CM1" t="s">
        <v>17</v>
      </c>
      <c r="CN1" t="s">
        <v>17</v>
      </c>
      <c r="CO1" t="s">
        <v>17</v>
      </c>
      <c r="CP1" t="s">
        <v>22</v>
      </c>
      <c r="CQ1" t="s">
        <v>22</v>
      </c>
      <c r="CR1" t="s">
        <v>22</v>
      </c>
      <c r="CS1" t="s">
        <v>22</v>
      </c>
      <c r="CT1" t="s">
        <v>25</v>
      </c>
      <c r="CU1" t="s">
        <v>25</v>
      </c>
      <c r="CV1" t="s">
        <v>25</v>
      </c>
      <c r="CW1" t="s">
        <v>25</v>
      </c>
      <c r="CX1" t="s">
        <v>70</v>
      </c>
      <c r="CY1" t="s">
        <v>70</v>
      </c>
      <c r="CZ1" t="s">
        <v>70</v>
      </c>
      <c r="DA1" t="s">
        <v>70</v>
      </c>
      <c r="DB1" t="s">
        <v>67</v>
      </c>
      <c r="DC1" t="s">
        <v>67</v>
      </c>
      <c r="DD1" t="s">
        <v>67</v>
      </c>
      <c r="DE1" t="s">
        <v>67</v>
      </c>
      <c r="DF1" t="s">
        <v>64</v>
      </c>
      <c r="DG1" t="s">
        <v>64</v>
      </c>
      <c r="DH1" t="s">
        <v>64</v>
      </c>
      <c r="DI1" t="s">
        <v>64</v>
      </c>
      <c r="DJ1" t="s">
        <v>59</v>
      </c>
      <c r="DK1" t="s">
        <v>59</v>
      </c>
      <c r="DL1" t="s">
        <v>59</v>
      </c>
      <c r="DM1" t="s">
        <v>59</v>
      </c>
      <c r="DN1" t="s">
        <v>66</v>
      </c>
      <c r="DO1" t="s">
        <v>66</v>
      </c>
      <c r="DP1" t="s">
        <v>66</v>
      </c>
      <c r="DQ1" t="s">
        <v>66</v>
      </c>
      <c r="DR1" t="s">
        <v>50</v>
      </c>
      <c r="DS1" t="s">
        <v>50</v>
      </c>
      <c r="DT1" t="s">
        <v>50</v>
      </c>
      <c r="DU1" t="s">
        <v>50</v>
      </c>
      <c r="DV1" t="s">
        <v>31</v>
      </c>
      <c r="DW1" t="s">
        <v>31</v>
      </c>
      <c r="DX1" t="s">
        <v>31</v>
      </c>
      <c r="DY1" t="s">
        <v>31</v>
      </c>
      <c r="DZ1" t="s">
        <v>76</v>
      </c>
      <c r="EA1" t="s">
        <v>76</v>
      </c>
      <c r="EB1" t="s">
        <v>76</v>
      </c>
      <c r="EC1" t="s">
        <v>76</v>
      </c>
      <c r="ED1" t="s">
        <v>33</v>
      </c>
      <c r="EE1" t="s">
        <v>33</v>
      </c>
      <c r="EF1" t="s">
        <v>33</v>
      </c>
      <c r="EG1" t="s">
        <v>33</v>
      </c>
      <c r="EH1" t="s">
        <v>38</v>
      </c>
      <c r="EI1" t="s">
        <v>38</v>
      </c>
      <c r="EJ1" t="s">
        <v>38</v>
      </c>
      <c r="EK1" t="s">
        <v>38</v>
      </c>
      <c r="EL1" t="s">
        <v>62</v>
      </c>
      <c r="EM1" t="s">
        <v>62</v>
      </c>
      <c r="EN1" t="s">
        <v>62</v>
      </c>
      <c r="EO1" t="s">
        <v>62</v>
      </c>
      <c r="EP1" t="s">
        <v>32</v>
      </c>
      <c r="EQ1" t="s">
        <v>32</v>
      </c>
      <c r="ER1" t="s">
        <v>32</v>
      </c>
      <c r="ES1" t="s">
        <v>32</v>
      </c>
      <c r="ET1" t="s">
        <v>47</v>
      </c>
      <c r="EU1" t="s">
        <v>47</v>
      </c>
      <c r="EV1" t="s">
        <v>47</v>
      </c>
      <c r="EW1" t="s">
        <v>47</v>
      </c>
      <c r="EX1" t="s">
        <v>35</v>
      </c>
      <c r="EY1" t="s">
        <v>35</v>
      </c>
      <c r="EZ1" t="s">
        <v>35</v>
      </c>
      <c r="FA1" t="s">
        <v>35</v>
      </c>
      <c r="FB1" t="s">
        <v>41</v>
      </c>
      <c r="FC1" t="s">
        <v>41</v>
      </c>
      <c r="FD1" t="s">
        <v>41</v>
      </c>
      <c r="FE1" t="s">
        <v>41</v>
      </c>
      <c r="FF1" t="s">
        <v>56</v>
      </c>
      <c r="FG1" t="s">
        <v>56</v>
      </c>
      <c r="FH1" t="s">
        <v>56</v>
      </c>
      <c r="FI1" t="s">
        <v>56</v>
      </c>
      <c r="FJ1" t="s">
        <v>46</v>
      </c>
      <c r="FK1" t="s">
        <v>46</v>
      </c>
      <c r="FL1" t="s">
        <v>46</v>
      </c>
      <c r="FM1" t="s">
        <v>46</v>
      </c>
      <c r="FN1" t="s">
        <v>71</v>
      </c>
      <c r="FO1" t="s">
        <v>71</v>
      </c>
      <c r="FP1" t="s">
        <v>71</v>
      </c>
      <c r="FQ1" t="s">
        <v>71</v>
      </c>
      <c r="FR1" t="s">
        <v>42</v>
      </c>
      <c r="FS1" t="s">
        <v>42</v>
      </c>
      <c r="FT1" t="s">
        <v>42</v>
      </c>
      <c r="FU1" t="s">
        <v>42</v>
      </c>
      <c r="FV1" t="s">
        <v>43</v>
      </c>
      <c r="FW1" t="s">
        <v>43</v>
      </c>
      <c r="FX1" t="s">
        <v>43</v>
      </c>
      <c r="FY1" t="s">
        <v>43</v>
      </c>
      <c r="FZ1" t="s">
        <v>23</v>
      </c>
      <c r="GA1" t="s">
        <v>23</v>
      </c>
      <c r="GB1" t="s">
        <v>23</v>
      </c>
      <c r="GC1" t="s">
        <v>23</v>
      </c>
      <c r="GD1" t="s">
        <v>30</v>
      </c>
      <c r="GE1" t="s">
        <v>30</v>
      </c>
      <c r="GF1" t="s">
        <v>30</v>
      </c>
      <c r="GG1" t="s">
        <v>30</v>
      </c>
      <c r="GH1" t="s">
        <v>29</v>
      </c>
      <c r="GI1" t="s">
        <v>29</v>
      </c>
      <c r="GJ1" t="s">
        <v>29</v>
      </c>
      <c r="GK1" t="s">
        <v>29</v>
      </c>
      <c r="GL1" t="s">
        <v>26</v>
      </c>
      <c r="GM1" t="s">
        <v>26</v>
      </c>
      <c r="GN1" t="s">
        <v>26</v>
      </c>
      <c r="GO1" t="s">
        <v>26</v>
      </c>
      <c r="GP1" t="s">
        <v>40</v>
      </c>
      <c r="GQ1" t="s">
        <v>40</v>
      </c>
      <c r="GR1" t="s">
        <v>40</v>
      </c>
      <c r="GS1" t="s">
        <v>40</v>
      </c>
      <c r="GT1" t="s">
        <v>81</v>
      </c>
      <c r="GU1" t="s">
        <v>81</v>
      </c>
      <c r="GV1" t="s">
        <v>81</v>
      </c>
      <c r="GW1" t="s">
        <v>81</v>
      </c>
      <c r="GX1" t="s">
        <v>82</v>
      </c>
      <c r="GY1" t="s">
        <v>82</v>
      </c>
      <c r="GZ1" t="s">
        <v>82</v>
      </c>
      <c r="HA1" t="s">
        <v>82</v>
      </c>
      <c r="HB1" t="s">
        <v>21</v>
      </c>
      <c r="HC1" t="s">
        <v>21</v>
      </c>
      <c r="HD1" t="s">
        <v>21</v>
      </c>
      <c r="HE1" t="s">
        <v>21</v>
      </c>
      <c r="HF1" t="s">
        <v>39</v>
      </c>
      <c r="HG1" t="s">
        <v>39</v>
      </c>
      <c r="HH1" t="s">
        <v>39</v>
      </c>
      <c r="HI1" t="s">
        <v>39</v>
      </c>
      <c r="HJ1" t="s">
        <v>69</v>
      </c>
      <c r="HK1" t="s">
        <v>69</v>
      </c>
      <c r="HL1" t="s">
        <v>69</v>
      </c>
      <c r="HM1" t="s">
        <v>69</v>
      </c>
      <c r="HN1" t="s">
        <v>78</v>
      </c>
      <c r="HO1" t="s">
        <v>78</v>
      </c>
      <c r="HP1" t="s">
        <v>78</v>
      </c>
      <c r="HQ1" t="s">
        <v>78</v>
      </c>
      <c r="HR1" t="s">
        <v>77</v>
      </c>
      <c r="HS1" t="s">
        <v>77</v>
      </c>
      <c r="HT1" t="s">
        <v>77</v>
      </c>
      <c r="HU1" t="s">
        <v>77</v>
      </c>
      <c r="HV1" t="s">
        <v>74</v>
      </c>
      <c r="HW1" t="s">
        <v>74</v>
      </c>
      <c r="HX1" t="s">
        <v>74</v>
      </c>
      <c r="HY1" t="s">
        <v>74</v>
      </c>
      <c r="HZ1" t="s">
        <v>79</v>
      </c>
      <c r="IA1" t="s">
        <v>79</v>
      </c>
      <c r="IB1" t="s">
        <v>79</v>
      </c>
      <c r="IC1" t="s">
        <v>79</v>
      </c>
      <c r="ID1" t="s">
        <v>61</v>
      </c>
      <c r="IE1" t="s">
        <v>61</v>
      </c>
      <c r="IF1" t="s">
        <v>61</v>
      </c>
      <c r="IG1" t="s">
        <v>61</v>
      </c>
      <c r="IH1" t="s">
        <v>20</v>
      </c>
      <c r="II1" t="s">
        <v>20</v>
      </c>
      <c r="IJ1" t="s">
        <v>20</v>
      </c>
      <c r="IK1" t="s">
        <v>20</v>
      </c>
      <c r="IL1" t="s">
        <v>34</v>
      </c>
      <c r="IM1" t="s">
        <v>34</v>
      </c>
      <c r="IN1" t="s">
        <v>34</v>
      </c>
      <c r="IO1" t="s">
        <v>34</v>
      </c>
      <c r="IP1" t="s">
        <v>72</v>
      </c>
      <c r="IQ1" t="s">
        <v>72</v>
      </c>
      <c r="IR1" t="s">
        <v>72</v>
      </c>
      <c r="IS1" t="s">
        <v>72</v>
      </c>
      <c r="IT1" t="s">
        <v>60</v>
      </c>
      <c r="IU1" t="s">
        <v>60</v>
      </c>
      <c r="IV1" t="s">
        <v>60</v>
      </c>
      <c r="IW1" t="s">
        <v>60</v>
      </c>
      <c r="IX1" t="s">
        <v>75</v>
      </c>
      <c r="IY1" t="s">
        <v>75</v>
      </c>
      <c r="IZ1" t="s">
        <v>75</v>
      </c>
      <c r="JA1" t="s">
        <v>75</v>
      </c>
      <c r="JB1" t="s">
        <v>48</v>
      </c>
      <c r="JC1" t="s">
        <v>48</v>
      </c>
      <c r="JD1" t="s">
        <v>48</v>
      </c>
      <c r="JE1" t="s">
        <v>48</v>
      </c>
      <c r="JF1" t="s">
        <v>27</v>
      </c>
      <c r="JG1" t="s">
        <v>27</v>
      </c>
      <c r="JH1" t="s">
        <v>27</v>
      </c>
      <c r="JI1" t="s">
        <v>27</v>
      </c>
      <c r="JJ1" t="s">
        <v>18</v>
      </c>
      <c r="JK1" t="s">
        <v>18</v>
      </c>
      <c r="JL1" t="s">
        <v>18</v>
      </c>
      <c r="JM1" t="s">
        <v>18</v>
      </c>
      <c r="JN1" t="s">
        <v>24</v>
      </c>
      <c r="JO1" t="s">
        <v>24</v>
      </c>
      <c r="JP1" t="s">
        <v>24</v>
      </c>
      <c r="JQ1" t="s">
        <v>24</v>
      </c>
      <c r="JR1" t="s">
        <v>19</v>
      </c>
      <c r="JS1" t="s">
        <v>19</v>
      </c>
      <c r="JT1" t="s">
        <v>19</v>
      </c>
      <c r="JU1" t="s">
        <v>19</v>
      </c>
      <c r="JV1" t="s">
        <v>52</v>
      </c>
      <c r="JW1" t="s">
        <v>52</v>
      </c>
      <c r="JX1" t="s">
        <v>52</v>
      </c>
      <c r="JY1" t="s">
        <v>52</v>
      </c>
    </row>
    <row r="2" spans="1:285" x14ac:dyDescent="0.3">
      <c r="A2" s="1"/>
      <c r="B2" t="s">
        <v>83</v>
      </c>
      <c r="C2" t="s">
        <v>84</v>
      </c>
      <c r="D2" t="s">
        <v>85</v>
      </c>
      <c r="E2" t="s">
        <v>86</v>
      </c>
      <c r="F2" t="s">
        <v>83</v>
      </c>
      <c r="G2" t="s">
        <v>84</v>
      </c>
      <c r="H2" t="s">
        <v>85</v>
      </c>
      <c r="I2" t="s">
        <v>86</v>
      </c>
      <c r="J2" t="s">
        <v>83</v>
      </c>
      <c r="K2" t="s">
        <v>84</v>
      </c>
      <c r="L2" t="s">
        <v>85</v>
      </c>
      <c r="M2" t="s">
        <v>86</v>
      </c>
      <c r="N2" t="s">
        <v>83</v>
      </c>
      <c r="O2" t="s">
        <v>84</v>
      </c>
      <c r="P2" t="s">
        <v>85</v>
      </c>
      <c r="Q2" t="s">
        <v>86</v>
      </c>
      <c r="R2" t="s">
        <v>83</v>
      </c>
      <c r="S2" t="s">
        <v>84</v>
      </c>
      <c r="T2" t="s">
        <v>85</v>
      </c>
      <c r="U2" t="s">
        <v>86</v>
      </c>
      <c r="V2" t="s">
        <v>83</v>
      </c>
      <c r="W2" t="s">
        <v>84</v>
      </c>
      <c r="X2" t="s">
        <v>85</v>
      </c>
      <c r="Y2" t="s">
        <v>86</v>
      </c>
      <c r="Z2" t="s">
        <v>83</v>
      </c>
      <c r="AA2" t="s">
        <v>84</v>
      </c>
      <c r="AB2" t="s">
        <v>85</v>
      </c>
      <c r="AC2" t="s">
        <v>86</v>
      </c>
      <c r="AD2" t="s">
        <v>83</v>
      </c>
      <c r="AE2" t="s">
        <v>84</v>
      </c>
      <c r="AF2" t="s">
        <v>85</v>
      </c>
      <c r="AG2" t="s">
        <v>86</v>
      </c>
      <c r="AH2" t="s">
        <v>83</v>
      </c>
      <c r="AI2" t="s">
        <v>84</v>
      </c>
      <c r="AJ2" t="s">
        <v>85</v>
      </c>
      <c r="AK2" t="s">
        <v>86</v>
      </c>
      <c r="AL2" t="s">
        <v>83</v>
      </c>
      <c r="AM2" t="s">
        <v>84</v>
      </c>
      <c r="AN2" t="s">
        <v>85</v>
      </c>
      <c r="AO2" t="s">
        <v>86</v>
      </c>
      <c r="AP2" t="s">
        <v>83</v>
      </c>
      <c r="AQ2" t="s">
        <v>84</v>
      </c>
      <c r="AR2" t="s">
        <v>85</v>
      </c>
      <c r="AS2" t="s">
        <v>86</v>
      </c>
      <c r="AT2" t="s">
        <v>83</v>
      </c>
      <c r="AU2" t="s">
        <v>84</v>
      </c>
      <c r="AV2" t="s">
        <v>85</v>
      </c>
      <c r="AW2" t="s">
        <v>86</v>
      </c>
      <c r="AX2" t="s">
        <v>83</v>
      </c>
      <c r="AY2" t="s">
        <v>84</v>
      </c>
      <c r="AZ2" t="s">
        <v>85</v>
      </c>
      <c r="BA2" t="s">
        <v>86</v>
      </c>
      <c r="BB2" t="s">
        <v>83</v>
      </c>
      <c r="BC2" t="s">
        <v>84</v>
      </c>
      <c r="BD2" t="s">
        <v>85</v>
      </c>
      <c r="BE2" t="s">
        <v>86</v>
      </c>
      <c r="BF2" t="s">
        <v>83</v>
      </c>
      <c r="BG2" t="s">
        <v>84</v>
      </c>
      <c r="BH2" t="s">
        <v>85</v>
      </c>
      <c r="BI2" t="s">
        <v>86</v>
      </c>
      <c r="BJ2" t="s">
        <v>83</v>
      </c>
      <c r="BK2" t="s">
        <v>84</v>
      </c>
      <c r="BL2" t="s">
        <v>85</v>
      </c>
      <c r="BM2" t="s">
        <v>86</v>
      </c>
      <c r="BN2" t="s">
        <v>83</v>
      </c>
      <c r="BO2" t="s">
        <v>84</v>
      </c>
      <c r="BP2" t="s">
        <v>85</v>
      </c>
      <c r="BQ2" t="s">
        <v>86</v>
      </c>
      <c r="BR2" t="s">
        <v>83</v>
      </c>
      <c r="BS2" t="s">
        <v>84</v>
      </c>
      <c r="BT2" t="s">
        <v>85</v>
      </c>
      <c r="BU2" t="s">
        <v>86</v>
      </c>
      <c r="BV2" t="s">
        <v>83</v>
      </c>
      <c r="BW2" t="s">
        <v>84</v>
      </c>
      <c r="BX2" t="s">
        <v>85</v>
      </c>
      <c r="BY2" t="s">
        <v>86</v>
      </c>
      <c r="BZ2" t="s">
        <v>83</v>
      </c>
      <c r="CA2" t="s">
        <v>84</v>
      </c>
      <c r="CB2" t="s">
        <v>85</v>
      </c>
      <c r="CC2" t="s">
        <v>86</v>
      </c>
      <c r="CD2" t="s">
        <v>83</v>
      </c>
      <c r="CE2" t="s">
        <v>84</v>
      </c>
      <c r="CF2" t="s">
        <v>85</v>
      </c>
      <c r="CG2" t="s">
        <v>86</v>
      </c>
      <c r="CH2" t="s">
        <v>83</v>
      </c>
      <c r="CI2" t="s">
        <v>84</v>
      </c>
      <c r="CJ2" t="s">
        <v>85</v>
      </c>
      <c r="CK2" t="s">
        <v>86</v>
      </c>
      <c r="CL2" t="s">
        <v>83</v>
      </c>
      <c r="CM2" t="s">
        <v>84</v>
      </c>
      <c r="CN2" t="s">
        <v>85</v>
      </c>
      <c r="CO2" t="s">
        <v>86</v>
      </c>
      <c r="CP2" t="s">
        <v>83</v>
      </c>
      <c r="CQ2" t="s">
        <v>84</v>
      </c>
      <c r="CR2" t="s">
        <v>85</v>
      </c>
      <c r="CS2" t="s">
        <v>86</v>
      </c>
      <c r="CT2" t="s">
        <v>83</v>
      </c>
      <c r="CU2" t="s">
        <v>84</v>
      </c>
      <c r="CV2" t="s">
        <v>85</v>
      </c>
      <c r="CW2" t="s">
        <v>86</v>
      </c>
      <c r="CX2" t="s">
        <v>83</v>
      </c>
      <c r="CY2" t="s">
        <v>84</v>
      </c>
      <c r="CZ2" t="s">
        <v>85</v>
      </c>
      <c r="DA2" t="s">
        <v>86</v>
      </c>
      <c r="DB2" t="s">
        <v>83</v>
      </c>
      <c r="DC2" t="s">
        <v>84</v>
      </c>
      <c r="DD2" t="s">
        <v>85</v>
      </c>
      <c r="DE2" t="s">
        <v>86</v>
      </c>
      <c r="DF2" t="s">
        <v>83</v>
      </c>
      <c r="DG2" t="s">
        <v>84</v>
      </c>
      <c r="DH2" t="s">
        <v>85</v>
      </c>
      <c r="DI2" t="s">
        <v>86</v>
      </c>
      <c r="DJ2" t="s">
        <v>83</v>
      </c>
      <c r="DK2" t="s">
        <v>84</v>
      </c>
      <c r="DL2" t="s">
        <v>85</v>
      </c>
      <c r="DM2" t="s">
        <v>86</v>
      </c>
      <c r="DN2" t="s">
        <v>83</v>
      </c>
      <c r="DO2" t="s">
        <v>84</v>
      </c>
      <c r="DP2" t="s">
        <v>85</v>
      </c>
      <c r="DQ2" t="s">
        <v>86</v>
      </c>
      <c r="DR2" t="s">
        <v>83</v>
      </c>
      <c r="DS2" t="s">
        <v>84</v>
      </c>
      <c r="DT2" t="s">
        <v>85</v>
      </c>
      <c r="DU2" t="s">
        <v>86</v>
      </c>
      <c r="DV2" t="s">
        <v>83</v>
      </c>
      <c r="DW2" t="s">
        <v>84</v>
      </c>
      <c r="DX2" t="s">
        <v>85</v>
      </c>
      <c r="DY2" t="s">
        <v>86</v>
      </c>
      <c r="DZ2" t="s">
        <v>83</v>
      </c>
      <c r="EA2" t="s">
        <v>84</v>
      </c>
      <c r="EB2" t="s">
        <v>85</v>
      </c>
      <c r="EC2" t="s">
        <v>86</v>
      </c>
      <c r="ED2" t="s">
        <v>83</v>
      </c>
      <c r="EE2" t="s">
        <v>84</v>
      </c>
      <c r="EF2" t="s">
        <v>85</v>
      </c>
      <c r="EG2" t="s">
        <v>86</v>
      </c>
      <c r="EH2" t="s">
        <v>83</v>
      </c>
      <c r="EI2" t="s">
        <v>84</v>
      </c>
      <c r="EJ2" t="s">
        <v>85</v>
      </c>
      <c r="EK2" t="s">
        <v>86</v>
      </c>
      <c r="EL2" t="s">
        <v>83</v>
      </c>
      <c r="EM2" t="s">
        <v>84</v>
      </c>
      <c r="EN2" t="s">
        <v>85</v>
      </c>
      <c r="EO2" t="s">
        <v>86</v>
      </c>
      <c r="EP2" t="s">
        <v>83</v>
      </c>
      <c r="EQ2" t="s">
        <v>84</v>
      </c>
      <c r="ER2" t="s">
        <v>85</v>
      </c>
      <c r="ES2" t="s">
        <v>86</v>
      </c>
      <c r="ET2" t="s">
        <v>83</v>
      </c>
      <c r="EU2" t="s">
        <v>84</v>
      </c>
      <c r="EV2" t="s">
        <v>85</v>
      </c>
      <c r="EW2" t="s">
        <v>86</v>
      </c>
      <c r="EX2" t="s">
        <v>83</v>
      </c>
      <c r="EY2" t="s">
        <v>84</v>
      </c>
      <c r="EZ2" t="s">
        <v>85</v>
      </c>
      <c r="FA2" t="s">
        <v>86</v>
      </c>
      <c r="FB2" t="s">
        <v>83</v>
      </c>
      <c r="FC2" t="s">
        <v>84</v>
      </c>
      <c r="FD2" t="s">
        <v>85</v>
      </c>
      <c r="FE2" t="s">
        <v>86</v>
      </c>
      <c r="FF2" t="s">
        <v>83</v>
      </c>
      <c r="FG2" t="s">
        <v>84</v>
      </c>
      <c r="FH2" t="s">
        <v>85</v>
      </c>
      <c r="FI2" t="s">
        <v>86</v>
      </c>
      <c r="FJ2" t="s">
        <v>83</v>
      </c>
      <c r="FK2" t="s">
        <v>84</v>
      </c>
      <c r="FL2" t="s">
        <v>85</v>
      </c>
      <c r="FM2" t="s">
        <v>86</v>
      </c>
      <c r="FN2" t="s">
        <v>83</v>
      </c>
      <c r="FO2" t="s">
        <v>84</v>
      </c>
      <c r="FP2" t="s">
        <v>85</v>
      </c>
      <c r="FQ2" t="s">
        <v>86</v>
      </c>
      <c r="FR2" t="s">
        <v>83</v>
      </c>
      <c r="FS2" t="s">
        <v>84</v>
      </c>
      <c r="FT2" t="s">
        <v>85</v>
      </c>
      <c r="FU2" t="s">
        <v>86</v>
      </c>
      <c r="FV2" t="s">
        <v>83</v>
      </c>
      <c r="FW2" t="s">
        <v>84</v>
      </c>
      <c r="FX2" t="s">
        <v>85</v>
      </c>
      <c r="FY2" t="s">
        <v>86</v>
      </c>
      <c r="FZ2" t="s">
        <v>83</v>
      </c>
      <c r="GA2" t="s">
        <v>84</v>
      </c>
      <c r="GB2" t="s">
        <v>85</v>
      </c>
      <c r="GC2" t="s">
        <v>86</v>
      </c>
      <c r="GD2" t="s">
        <v>83</v>
      </c>
      <c r="GE2" t="s">
        <v>84</v>
      </c>
      <c r="GF2" t="s">
        <v>85</v>
      </c>
      <c r="GG2" t="s">
        <v>86</v>
      </c>
      <c r="GH2" t="s">
        <v>83</v>
      </c>
      <c r="GI2" t="s">
        <v>84</v>
      </c>
      <c r="GJ2" t="s">
        <v>85</v>
      </c>
      <c r="GK2" t="s">
        <v>86</v>
      </c>
      <c r="GL2" t="s">
        <v>83</v>
      </c>
      <c r="GM2" t="s">
        <v>84</v>
      </c>
      <c r="GN2" t="s">
        <v>85</v>
      </c>
      <c r="GO2" t="s">
        <v>86</v>
      </c>
      <c r="GP2" t="s">
        <v>83</v>
      </c>
      <c r="GQ2" t="s">
        <v>84</v>
      </c>
      <c r="GR2" t="s">
        <v>85</v>
      </c>
      <c r="GS2" t="s">
        <v>86</v>
      </c>
      <c r="GT2" t="s">
        <v>83</v>
      </c>
      <c r="GU2" t="s">
        <v>84</v>
      </c>
      <c r="GV2" t="s">
        <v>85</v>
      </c>
      <c r="GW2" t="s">
        <v>86</v>
      </c>
      <c r="GX2" t="s">
        <v>83</v>
      </c>
      <c r="GY2" t="s">
        <v>84</v>
      </c>
      <c r="GZ2" t="s">
        <v>85</v>
      </c>
      <c r="HA2" t="s">
        <v>86</v>
      </c>
      <c r="HB2" t="s">
        <v>83</v>
      </c>
      <c r="HC2" t="s">
        <v>84</v>
      </c>
      <c r="HD2" t="s">
        <v>85</v>
      </c>
      <c r="HE2" t="s">
        <v>86</v>
      </c>
      <c r="HF2" t="s">
        <v>83</v>
      </c>
      <c r="HG2" t="s">
        <v>84</v>
      </c>
      <c r="HH2" t="s">
        <v>85</v>
      </c>
      <c r="HI2" t="s">
        <v>86</v>
      </c>
      <c r="HJ2" t="s">
        <v>83</v>
      </c>
      <c r="HK2" t="s">
        <v>84</v>
      </c>
      <c r="HL2" t="s">
        <v>85</v>
      </c>
      <c r="HM2" t="s">
        <v>86</v>
      </c>
      <c r="HN2" t="s">
        <v>83</v>
      </c>
      <c r="HO2" t="s">
        <v>84</v>
      </c>
      <c r="HP2" t="s">
        <v>85</v>
      </c>
      <c r="HQ2" t="s">
        <v>86</v>
      </c>
      <c r="HR2" t="s">
        <v>83</v>
      </c>
      <c r="HS2" t="s">
        <v>84</v>
      </c>
      <c r="HT2" t="s">
        <v>85</v>
      </c>
      <c r="HU2" t="s">
        <v>86</v>
      </c>
      <c r="HV2" t="s">
        <v>83</v>
      </c>
      <c r="HW2" t="s">
        <v>84</v>
      </c>
      <c r="HX2" t="s">
        <v>85</v>
      </c>
      <c r="HY2" t="s">
        <v>86</v>
      </c>
      <c r="HZ2" t="s">
        <v>83</v>
      </c>
      <c r="IA2" t="s">
        <v>84</v>
      </c>
      <c r="IB2" t="s">
        <v>85</v>
      </c>
      <c r="IC2" t="s">
        <v>86</v>
      </c>
      <c r="ID2" t="s">
        <v>83</v>
      </c>
      <c r="IE2" t="s">
        <v>84</v>
      </c>
      <c r="IF2" t="s">
        <v>85</v>
      </c>
      <c r="IG2" t="s">
        <v>86</v>
      </c>
      <c r="IH2" t="s">
        <v>83</v>
      </c>
      <c r="II2" t="s">
        <v>84</v>
      </c>
      <c r="IJ2" t="s">
        <v>85</v>
      </c>
      <c r="IK2" t="s">
        <v>86</v>
      </c>
      <c r="IL2" t="s">
        <v>83</v>
      </c>
      <c r="IM2" t="s">
        <v>84</v>
      </c>
      <c r="IN2" t="s">
        <v>85</v>
      </c>
      <c r="IO2" t="s">
        <v>86</v>
      </c>
      <c r="IP2" t="s">
        <v>83</v>
      </c>
      <c r="IQ2" t="s">
        <v>84</v>
      </c>
      <c r="IR2" t="s">
        <v>85</v>
      </c>
      <c r="IS2" t="s">
        <v>86</v>
      </c>
      <c r="IT2" t="s">
        <v>83</v>
      </c>
      <c r="IU2" t="s">
        <v>84</v>
      </c>
      <c r="IV2" t="s">
        <v>85</v>
      </c>
      <c r="IW2" t="s">
        <v>86</v>
      </c>
      <c r="IX2" t="s">
        <v>83</v>
      </c>
      <c r="IY2" t="s">
        <v>84</v>
      </c>
      <c r="IZ2" t="s">
        <v>85</v>
      </c>
      <c r="JA2" t="s">
        <v>86</v>
      </c>
      <c r="JB2" t="s">
        <v>83</v>
      </c>
      <c r="JC2" t="s">
        <v>84</v>
      </c>
      <c r="JD2" t="s">
        <v>85</v>
      </c>
      <c r="JE2" t="s">
        <v>86</v>
      </c>
      <c r="JF2" t="s">
        <v>83</v>
      </c>
      <c r="JG2" t="s">
        <v>84</v>
      </c>
      <c r="JH2" t="s">
        <v>85</v>
      </c>
      <c r="JI2" t="s">
        <v>86</v>
      </c>
      <c r="JJ2" t="s">
        <v>83</v>
      </c>
      <c r="JK2" t="s">
        <v>84</v>
      </c>
      <c r="JL2" t="s">
        <v>85</v>
      </c>
      <c r="JM2" t="s">
        <v>86</v>
      </c>
      <c r="JN2" t="s">
        <v>83</v>
      </c>
      <c r="JO2" t="s">
        <v>84</v>
      </c>
      <c r="JP2" t="s">
        <v>85</v>
      </c>
      <c r="JQ2" t="s">
        <v>86</v>
      </c>
      <c r="JR2" t="s">
        <v>83</v>
      </c>
      <c r="JS2" t="s">
        <v>84</v>
      </c>
      <c r="JT2" t="s">
        <v>85</v>
      </c>
      <c r="JU2" t="s">
        <v>86</v>
      </c>
      <c r="JV2" t="s">
        <v>83</v>
      </c>
      <c r="JW2" t="s">
        <v>84</v>
      </c>
      <c r="JX2" t="s">
        <v>85</v>
      </c>
      <c r="JY2" t="s">
        <v>86</v>
      </c>
    </row>
    <row r="3" spans="1:285" x14ac:dyDescent="0.3">
      <c r="A3" s="1" t="s">
        <v>87</v>
      </c>
    </row>
    <row r="4" spans="1:285" x14ac:dyDescent="0.3">
      <c r="A4" s="1" t="s">
        <v>88</v>
      </c>
      <c r="B4">
        <v>0</v>
      </c>
      <c r="C4">
        <v>0</v>
      </c>
      <c r="D4">
        <v>0</v>
      </c>
      <c r="E4">
        <v>0</v>
      </c>
      <c r="F4">
        <v>65.7</v>
      </c>
      <c r="G4">
        <v>30.2362916597477</v>
      </c>
      <c r="H4">
        <v>27</v>
      </c>
      <c r="I4">
        <v>116</v>
      </c>
      <c r="J4">
        <v>105</v>
      </c>
      <c r="K4">
        <v>38.646546489376703</v>
      </c>
      <c r="L4">
        <v>48</v>
      </c>
      <c r="M4">
        <v>156</v>
      </c>
      <c r="N4">
        <v>0</v>
      </c>
      <c r="O4">
        <v>0</v>
      </c>
      <c r="P4">
        <v>0</v>
      </c>
      <c r="Q4">
        <v>0</v>
      </c>
      <c r="R4">
        <v>131.9</v>
      </c>
      <c r="S4">
        <v>38.822816887896103</v>
      </c>
      <c r="T4">
        <v>61</v>
      </c>
      <c r="U4">
        <v>194</v>
      </c>
      <c r="V4">
        <v>172.5</v>
      </c>
      <c r="W4">
        <v>29.364566705091601</v>
      </c>
      <c r="X4">
        <v>130</v>
      </c>
      <c r="Y4">
        <v>230</v>
      </c>
      <c r="Z4">
        <v>0</v>
      </c>
      <c r="AA4">
        <v>0</v>
      </c>
      <c r="AB4">
        <v>0</v>
      </c>
      <c r="AC4">
        <v>0</v>
      </c>
      <c r="AD4">
        <v>96</v>
      </c>
      <c r="AE4">
        <v>20.520991962161801</v>
      </c>
      <c r="AF4">
        <v>62</v>
      </c>
      <c r="AG4">
        <v>125</v>
      </c>
      <c r="AH4">
        <v>197.6</v>
      </c>
      <c r="AI4">
        <v>20.0066655559257</v>
      </c>
      <c r="AJ4">
        <v>164</v>
      </c>
      <c r="AK4">
        <v>224</v>
      </c>
      <c r="AL4">
        <v>0</v>
      </c>
      <c r="AM4">
        <v>0</v>
      </c>
      <c r="AN4">
        <v>0</v>
      </c>
      <c r="AO4">
        <v>0</v>
      </c>
      <c r="AP4">
        <v>96</v>
      </c>
      <c r="AQ4">
        <v>20.520991962161801</v>
      </c>
      <c r="AR4">
        <v>62</v>
      </c>
      <c r="AS4">
        <v>125</v>
      </c>
      <c r="AT4">
        <v>67.400000000000006</v>
      </c>
      <c r="AU4">
        <v>15.407069084604499</v>
      </c>
      <c r="AV4">
        <v>44</v>
      </c>
      <c r="AW4">
        <v>94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130.19999999999999</v>
      </c>
      <c r="BG4">
        <v>30.198601880808202</v>
      </c>
      <c r="BH4">
        <v>86</v>
      </c>
      <c r="BI4">
        <v>166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1015.4</v>
      </c>
      <c r="BS4">
        <v>120.440118823514</v>
      </c>
      <c r="BT4">
        <v>832</v>
      </c>
      <c r="BU4">
        <v>1248</v>
      </c>
      <c r="BV4">
        <v>647</v>
      </c>
      <c r="BW4">
        <v>167.60270483099799</v>
      </c>
      <c r="BX4">
        <v>312</v>
      </c>
      <c r="BY4">
        <v>856</v>
      </c>
      <c r="BZ4">
        <v>12.6</v>
      </c>
      <c r="CA4">
        <v>2.41292814278051</v>
      </c>
      <c r="CB4">
        <v>10</v>
      </c>
      <c r="CC4">
        <v>18</v>
      </c>
      <c r="CD4">
        <v>122.1</v>
      </c>
      <c r="CE4">
        <v>32.9054200196056</v>
      </c>
      <c r="CF4">
        <v>75</v>
      </c>
      <c r="CG4">
        <v>174</v>
      </c>
      <c r="CH4">
        <v>102.1</v>
      </c>
      <c r="CI4">
        <v>30.431891166997801</v>
      </c>
      <c r="CJ4">
        <v>57</v>
      </c>
      <c r="CK4">
        <v>153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64.5</v>
      </c>
      <c r="CY4">
        <v>3.6590830666833498</v>
      </c>
      <c r="CZ4">
        <v>57</v>
      </c>
      <c r="DA4">
        <v>69</v>
      </c>
      <c r="DB4">
        <v>60.5</v>
      </c>
      <c r="DC4">
        <v>2.22361067735438</v>
      </c>
      <c r="DD4">
        <v>56</v>
      </c>
      <c r="DE4">
        <v>63</v>
      </c>
      <c r="DF4">
        <v>92.5</v>
      </c>
      <c r="DG4">
        <v>1.26929551764398</v>
      </c>
      <c r="DH4">
        <v>91</v>
      </c>
      <c r="DI4">
        <v>95</v>
      </c>
      <c r="DJ4">
        <v>60.2</v>
      </c>
      <c r="DK4">
        <v>1.2292725943057099</v>
      </c>
      <c r="DL4">
        <v>59</v>
      </c>
      <c r="DM4">
        <v>63</v>
      </c>
      <c r="DN4">
        <v>62.1</v>
      </c>
      <c r="DO4">
        <v>1.52388392675499</v>
      </c>
      <c r="DP4">
        <v>59</v>
      </c>
      <c r="DQ4">
        <v>64</v>
      </c>
      <c r="DR4">
        <v>99.3</v>
      </c>
      <c r="DS4">
        <v>0.483045891539647</v>
      </c>
      <c r="DT4">
        <v>99</v>
      </c>
      <c r="DU4">
        <v>100</v>
      </c>
      <c r="DV4">
        <v>0</v>
      </c>
      <c r="DW4">
        <v>0</v>
      </c>
      <c r="DX4">
        <v>0</v>
      </c>
      <c r="DY4">
        <v>0</v>
      </c>
      <c r="DZ4">
        <v>28.170999999999999</v>
      </c>
      <c r="EA4">
        <v>2.3906133569070098</v>
      </c>
      <c r="EB4">
        <v>22.66</v>
      </c>
      <c r="EC4">
        <v>30.98</v>
      </c>
      <c r="ED4">
        <v>39.155000000000001</v>
      </c>
      <c r="EE4">
        <v>2.1477080807223299</v>
      </c>
      <c r="EF4">
        <v>36.520000000000003</v>
      </c>
      <c r="EG4">
        <v>43.31</v>
      </c>
      <c r="EH4">
        <v>8.6199999999999992</v>
      </c>
      <c r="EI4">
        <v>1.70978881087044</v>
      </c>
      <c r="EJ4">
        <v>6.43</v>
      </c>
      <c r="EK4">
        <v>11.54</v>
      </c>
      <c r="EL4">
        <v>55.924999999999997</v>
      </c>
      <c r="EM4">
        <v>2.00958951032294</v>
      </c>
      <c r="EN4">
        <v>54.03</v>
      </c>
      <c r="EO4">
        <v>60.67</v>
      </c>
      <c r="EP4">
        <v>147.63999999999999</v>
      </c>
      <c r="EQ4">
        <v>13.0980863742253</v>
      </c>
      <c r="ER4">
        <v>120.8</v>
      </c>
      <c r="ES4">
        <v>165.97</v>
      </c>
      <c r="ET4">
        <v>42.822000000000003</v>
      </c>
      <c r="EU4">
        <v>3.49852286289831</v>
      </c>
      <c r="EV4">
        <v>37.04</v>
      </c>
      <c r="EW4">
        <v>48.48</v>
      </c>
      <c r="EX4">
        <v>8.7099999999999902</v>
      </c>
      <c r="EY4">
        <v>0.75221155416692598</v>
      </c>
      <c r="EZ4">
        <v>7.42</v>
      </c>
      <c r="FA4">
        <v>9.7799999999999994</v>
      </c>
      <c r="FB4">
        <v>5.7469999999999999</v>
      </c>
      <c r="FC4">
        <v>0.52319637273632102</v>
      </c>
      <c r="FD4">
        <v>4.78</v>
      </c>
      <c r="FE4">
        <v>6.66</v>
      </c>
      <c r="FF4">
        <v>2.4E-2</v>
      </c>
      <c r="FG4">
        <v>9.6609178307929602E-3</v>
      </c>
      <c r="FH4">
        <v>0.02</v>
      </c>
      <c r="FI4">
        <v>0.05</v>
      </c>
      <c r="FJ4">
        <v>5.14</v>
      </c>
      <c r="FK4">
        <v>1.61953354052606</v>
      </c>
      <c r="FL4">
        <v>3.04</v>
      </c>
      <c r="FM4">
        <v>7.44</v>
      </c>
      <c r="FN4">
        <v>1.2090000000000001</v>
      </c>
      <c r="FO4">
        <v>0.41937652135839298</v>
      </c>
      <c r="FP4">
        <v>0.6</v>
      </c>
      <c r="FQ4">
        <v>1.8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10.1299999999999</v>
      </c>
      <c r="HG4">
        <v>1.59551454605298</v>
      </c>
      <c r="HH4">
        <v>8.2799999999999994</v>
      </c>
      <c r="HI4">
        <v>12.46</v>
      </c>
      <c r="HJ4">
        <v>46.894999999999897</v>
      </c>
      <c r="HK4">
        <v>1.69774523674457</v>
      </c>
      <c r="HL4">
        <v>44.23</v>
      </c>
      <c r="HM4">
        <v>48.84</v>
      </c>
      <c r="HN4">
        <v>69.043000000000006</v>
      </c>
      <c r="HO4">
        <v>21.636787628686601</v>
      </c>
      <c r="HP4">
        <v>36.770000000000003</v>
      </c>
      <c r="HQ4">
        <v>102.34</v>
      </c>
      <c r="HR4">
        <v>15.518000000000001</v>
      </c>
      <c r="HS4">
        <v>3.1325630258801</v>
      </c>
      <c r="HT4">
        <v>12.43</v>
      </c>
      <c r="HU4">
        <v>20.29</v>
      </c>
      <c r="HV4">
        <v>8.5950000000000006</v>
      </c>
      <c r="HW4">
        <v>1.42171453612257</v>
      </c>
      <c r="HX4">
        <v>6.85</v>
      </c>
      <c r="HY4">
        <v>10.62</v>
      </c>
      <c r="HZ4">
        <v>7.444</v>
      </c>
      <c r="IA4">
        <v>0.73481970577822597</v>
      </c>
      <c r="IB4">
        <v>5.86</v>
      </c>
      <c r="IC4">
        <v>8.2799999999999994</v>
      </c>
      <c r="ID4">
        <v>7.3999999999999996E-2</v>
      </c>
      <c r="IE4">
        <v>3.5652645218989101E-2</v>
      </c>
      <c r="IF4">
        <v>0.04</v>
      </c>
      <c r="IG4">
        <v>0.15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40.132999999999903</v>
      </c>
      <c r="IQ4">
        <v>7.9744843790122903</v>
      </c>
      <c r="IR4">
        <v>28.21</v>
      </c>
      <c r="IS4">
        <v>51.26</v>
      </c>
      <c r="IT4">
        <v>127.3</v>
      </c>
      <c r="IU4">
        <v>34.493316582910502</v>
      </c>
      <c r="IV4">
        <v>77</v>
      </c>
      <c r="IW4">
        <v>190</v>
      </c>
      <c r="IX4">
        <v>33.299999999999997</v>
      </c>
      <c r="IY4">
        <v>19.1488322823554</v>
      </c>
      <c r="IZ4">
        <v>7</v>
      </c>
      <c r="JA4">
        <v>73</v>
      </c>
      <c r="JB4">
        <v>130.19999999999999</v>
      </c>
      <c r="JC4">
        <v>30.198601880808202</v>
      </c>
      <c r="JD4">
        <v>86</v>
      </c>
      <c r="JE4">
        <v>166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192.8</v>
      </c>
      <c r="JW4">
        <v>45.8058705601997</v>
      </c>
      <c r="JX4">
        <v>118</v>
      </c>
      <c r="JY4">
        <v>257</v>
      </c>
    </row>
    <row r="5" spans="1:285" x14ac:dyDescent="0.3">
      <c r="A5" s="1" t="s">
        <v>89</v>
      </c>
      <c r="B5">
        <v>13.6</v>
      </c>
      <c r="C5">
        <v>6.7197883564555401</v>
      </c>
      <c r="D5">
        <v>4</v>
      </c>
      <c r="E5">
        <v>22</v>
      </c>
      <c r="F5">
        <v>36.700000000000003</v>
      </c>
      <c r="G5">
        <v>26.700187265260801</v>
      </c>
      <c r="H5">
        <v>8</v>
      </c>
      <c r="I5">
        <v>102</v>
      </c>
      <c r="J5">
        <v>68.5</v>
      </c>
      <c r="K5">
        <v>26.013885181229998</v>
      </c>
      <c r="L5">
        <v>30</v>
      </c>
      <c r="M5">
        <v>99</v>
      </c>
      <c r="N5">
        <v>9.3000000000000007</v>
      </c>
      <c r="O5">
        <v>6.4644326037858004</v>
      </c>
      <c r="P5">
        <v>0</v>
      </c>
      <c r="Q5">
        <v>19</v>
      </c>
      <c r="R5">
        <v>86.5</v>
      </c>
      <c r="S5">
        <v>56.866803438678801</v>
      </c>
      <c r="T5">
        <v>9</v>
      </c>
      <c r="U5">
        <v>210</v>
      </c>
      <c r="V5">
        <v>145.9</v>
      </c>
      <c r="W5">
        <v>26.488781692549601</v>
      </c>
      <c r="X5">
        <v>110</v>
      </c>
      <c r="Y5">
        <v>182</v>
      </c>
      <c r="Z5">
        <v>7.8</v>
      </c>
      <c r="AA5">
        <v>3.1198290551460199</v>
      </c>
      <c r="AB5">
        <v>4</v>
      </c>
      <c r="AC5">
        <v>14</v>
      </c>
      <c r="AD5">
        <v>77.8</v>
      </c>
      <c r="AE5">
        <v>35.946874381199997</v>
      </c>
      <c r="AF5">
        <v>22</v>
      </c>
      <c r="AG5">
        <v>141</v>
      </c>
      <c r="AH5">
        <v>206.1</v>
      </c>
      <c r="AI5">
        <v>16.602877929911799</v>
      </c>
      <c r="AJ5">
        <v>184</v>
      </c>
      <c r="AK5">
        <v>233</v>
      </c>
      <c r="AL5">
        <v>7.8</v>
      </c>
      <c r="AM5">
        <v>3.1198290551460199</v>
      </c>
      <c r="AN5">
        <v>4</v>
      </c>
      <c r="AO5">
        <v>14</v>
      </c>
      <c r="AP5">
        <v>68.7</v>
      </c>
      <c r="AQ5">
        <v>34.055673373006201</v>
      </c>
      <c r="AR5">
        <v>18</v>
      </c>
      <c r="AS5">
        <v>135</v>
      </c>
      <c r="AT5">
        <v>47.4</v>
      </c>
      <c r="AU5">
        <v>17.5511949577356</v>
      </c>
      <c r="AV5">
        <v>27</v>
      </c>
      <c r="AW5">
        <v>80</v>
      </c>
      <c r="AX5">
        <v>0</v>
      </c>
      <c r="AY5">
        <v>0</v>
      </c>
      <c r="AZ5">
        <v>0</v>
      </c>
      <c r="BA5">
        <v>0</v>
      </c>
      <c r="BB5">
        <v>9.1</v>
      </c>
      <c r="BC5">
        <v>5.0431471655438802</v>
      </c>
      <c r="BD5">
        <v>2</v>
      </c>
      <c r="BE5">
        <v>18</v>
      </c>
      <c r="BF5">
        <v>158.69999999999999</v>
      </c>
      <c r="BG5">
        <v>20.000277775848701</v>
      </c>
      <c r="BH5">
        <v>123</v>
      </c>
      <c r="BI5">
        <v>185</v>
      </c>
      <c r="BJ5">
        <v>62.9</v>
      </c>
      <c r="BK5">
        <v>21.036740347412199</v>
      </c>
      <c r="BL5">
        <v>31</v>
      </c>
      <c r="BM5">
        <v>90</v>
      </c>
      <c r="BN5">
        <v>84.7</v>
      </c>
      <c r="BO5">
        <v>21.2866677106169</v>
      </c>
      <c r="BP5">
        <v>38</v>
      </c>
      <c r="BQ5">
        <v>107</v>
      </c>
      <c r="BR5">
        <v>861.7</v>
      </c>
      <c r="BS5">
        <v>131.20217647246201</v>
      </c>
      <c r="BT5">
        <v>672</v>
      </c>
      <c r="BU5">
        <v>1036</v>
      </c>
      <c r="BV5">
        <v>487.9</v>
      </c>
      <c r="BW5">
        <v>207.14914111978999</v>
      </c>
      <c r="BX5">
        <v>222</v>
      </c>
      <c r="BY5">
        <v>924</v>
      </c>
      <c r="BZ5">
        <v>9.1</v>
      </c>
      <c r="CA5">
        <v>3.3813212407775302</v>
      </c>
      <c r="CB5">
        <v>5</v>
      </c>
      <c r="CC5">
        <v>15</v>
      </c>
      <c r="CD5">
        <v>87.6</v>
      </c>
      <c r="CE5">
        <v>25.342980619229898</v>
      </c>
      <c r="CF5">
        <v>53</v>
      </c>
      <c r="CG5">
        <v>133</v>
      </c>
      <c r="CH5">
        <v>71.8</v>
      </c>
      <c r="CI5">
        <v>22.846346656644101</v>
      </c>
      <c r="CJ5">
        <v>40</v>
      </c>
      <c r="CK5">
        <v>116</v>
      </c>
      <c r="CL5">
        <v>64.2</v>
      </c>
      <c r="CM5">
        <v>2.0976176963403002</v>
      </c>
      <c r="CN5">
        <v>60</v>
      </c>
      <c r="CO5">
        <v>68</v>
      </c>
      <c r="CP5">
        <v>64.099999999999994</v>
      </c>
      <c r="CQ5">
        <v>1.96920739836559</v>
      </c>
      <c r="CR5">
        <v>60</v>
      </c>
      <c r="CS5">
        <v>66</v>
      </c>
      <c r="CT5">
        <v>66</v>
      </c>
      <c r="CU5">
        <v>6.4807406984078604</v>
      </c>
      <c r="CV5">
        <v>55</v>
      </c>
      <c r="CW5">
        <v>78</v>
      </c>
      <c r="CX5">
        <v>64.099999999999994</v>
      </c>
      <c r="CY5">
        <v>4.45845015423272</v>
      </c>
      <c r="CZ5">
        <v>57</v>
      </c>
      <c r="DA5">
        <v>71</v>
      </c>
      <c r="DB5">
        <v>60.3</v>
      </c>
      <c r="DC5">
        <v>2.26323269290239</v>
      </c>
      <c r="DD5">
        <v>56</v>
      </c>
      <c r="DE5">
        <v>63</v>
      </c>
      <c r="DF5">
        <v>92.7</v>
      </c>
      <c r="DG5">
        <v>1.49443411809732</v>
      </c>
      <c r="DH5">
        <v>91</v>
      </c>
      <c r="DI5">
        <v>96</v>
      </c>
      <c r="DJ5">
        <v>61.2</v>
      </c>
      <c r="DK5">
        <v>1.3984117975602</v>
      </c>
      <c r="DL5">
        <v>58</v>
      </c>
      <c r="DM5">
        <v>63</v>
      </c>
      <c r="DN5">
        <v>63.3</v>
      </c>
      <c r="DO5">
        <v>1.5670212364724201</v>
      </c>
      <c r="DP5">
        <v>60</v>
      </c>
      <c r="DQ5">
        <v>65</v>
      </c>
      <c r="DR5">
        <v>98.9</v>
      </c>
      <c r="DS5">
        <v>0.316227766016838</v>
      </c>
      <c r="DT5">
        <v>98</v>
      </c>
      <c r="DU5">
        <v>99</v>
      </c>
      <c r="DV5">
        <v>57.66</v>
      </c>
      <c r="DW5">
        <v>9.8321920241622607</v>
      </c>
      <c r="DX5">
        <v>38.44</v>
      </c>
      <c r="DY5">
        <v>73.19</v>
      </c>
      <c r="DZ5">
        <v>31.841999999999999</v>
      </c>
      <c r="EA5">
        <v>6.9757911538564699</v>
      </c>
      <c r="EB5">
        <v>24.52</v>
      </c>
      <c r="EC5">
        <v>46.81</v>
      </c>
      <c r="ED5">
        <v>36.089999999999897</v>
      </c>
      <c r="EE5">
        <v>2.0573769708052998</v>
      </c>
      <c r="EF5">
        <v>32.92</v>
      </c>
      <c r="EG5">
        <v>39.15</v>
      </c>
      <c r="EH5">
        <v>6.2750000000000004</v>
      </c>
      <c r="EI5">
        <v>1.3458516510621299</v>
      </c>
      <c r="EJ5">
        <v>4.24</v>
      </c>
      <c r="EK5">
        <v>8.01</v>
      </c>
      <c r="EL5">
        <v>58.015000000000001</v>
      </c>
      <c r="EM5">
        <v>2.2781242283949301</v>
      </c>
      <c r="EN5">
        <v>53.85</v>
      </c>
      <c r="EO5">
        <v>61.25</v>
      </c>
      <c r="EP5">
        <v>126.093</v>
      </c>
      <c r="EQ5">
        <v>15.391963307013301</v>
      </c>
      <c r="ER5">
        <v>103.67</v>
      </c>
      <c r="ES5">
        <v>151.33000000000001</v>
      </c>
      <c r="ET5">
        <v>38.757999999999903</v>
      </c>
      <c r="EU5">
        <v>5.1839470161901398</v>
      </c>
      <c r="EV5">
        <v>29.79</v>
      </c>
      <c r="EW5">
        <v>45.78</v>
      </c>
      <c r="EX5">
        <v>7.7460000000000004</v>
      </c>
      <c r="EY5">
        <v>0.55542176166705304</v>
      </c>
      <c r="EZ5">
        <v>6.86</v>
      </c>
      <c r="FA5">
        <v>8.41</v>
      </c>
      <c r="FB5">
        <v>5.1189999999999998</v>
      </c>
      <c r="FC5">
        <v>0.495814705532442</v>
      </c>
      <c r="FD5">
        <v>4.18</v>
      </c>
      <c r="FE5">
        <v>5.75</v>
      </c>
      <c r="FF5">
        <v>2.0999999999999901E-2</v>
      </c>
      <c r="FG5">
        <v>3.1622776601683699E-3</v>
      </c>
      <c r="FH5">
        <v>0.02</v>
      </c>
      <c r="FI5">
        <v>0.03</v>
      </c>
      <c r="FJ5">
        <v>6.9079999999999897</v>
      </c>
      <c r="FK5">
        <v>1.6106023717851601</v>
      </c>
      <c r="FL5">
        <v>4.67</v>
      </c>
      <c r="FM5">
        <v>9.56</v>
      </c>
      <c r="FN5">
        <v>0.88500000000000001</v>
      </c>
      <c r="FO5">
        <v>0.39218051399267001</v>
      </c>
      <c r="FP5">
        <v>0.37</v>
      </c>
      <c r="FQ5">
        <v>1.48</v>
      </c>
      <c r="FR5">
        <v>24.550999999999998</v>
      </c>
      <c r="FS5">
        <v>3.8496881547586201</v>
      </c>
      <c r="FT5">
        <v>16.73</v>
      </c>
      <c r="FU5">
        <v>28.35</v>
      </c>
      <c r="FV5">
        <v>44.195999999999998</v>
      </c>
      <c r="FW5">
        <v>6.0676449760640701</v>
      </c>
      <c r="FX5">
        <v>34.57</v>
      </c>
      <c r="FY5">
        <v>50.45</v>
      </c>
      <c r="FZ5">
        <v>100.08</v>
      </c>
      <c r="GA5">
        <v>25.354566540259398</v>
      </c>
      <c r="GB5">
        <v>52.58</v>
      </c>
      <c r="GC5">
        <v>137.25</v>
      </c>
      <c r="GD5">
        <v>67.185000000000002</v>
      </c>
      <c r="GE5">
        <v>17.673337891361101</v>
      </c>
      <c r="GF5">
        <v>49.32</v>
      </c>
      <c r="GG5">
        <v>113.28</v>
      </c>
      <c r="GH5">
        <v>14.607999999999899</v>
      </c>
      <c r="GI5">
        <v>2.42515429062427</v>
      </c>
      <c r="GJ5">
        <v>8.8699999999999992</v>
      </c>
      <c r="GK5">
        <v>17.84</v>
      </c>
      <c r="GL5">
        <v>18.265999999999998</v>
      </c>
      <c r="GM5">
        <v>3.2171181030370701</v>
      </c>
      <c r="GN5">
        <v>11.65</v>
      </c>
      <c r="GO5">
        <v>23.8</v>
      </c>
      <c r="GP5">
        <v>1.4E-2</v>
      </c>
      <c r="GQ5">
        <v>6.99205898780101E-3</v>
      </c>
      <c r="GR5">
        <v>0</v>
      </c>
      <c r="GS5">
        <v>0.02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77.096000000000004</v>
      </c>
      <c r="HC5">
        <v>17.802274636186802</v>
      </c>
      <c r="HD5">
        <v>42.18</v>
      </c>
      <c r="HE5">
        <v>107.01</v>
      </c>
      <c r="HF5">
        <v>7.3689999999999998</v>
      </c>
      <c r="HG5">
        <v>1.2517228127664599</v>
      </c>
      <c r="HH5">
        <v>5.36</v>
      </c>
      <c r="HI5">
        <v>9.0399999999999991</v>
      </c>
      <c r="HJ5">
        <v>49.719000000000001</v>
      </c>
      <c r="HK5">
        <v>2.9870477807434601</v>
      </c>
      <c r="HL5">
        <v>44.47</v>
      </c>
      <c r="HM5">
        <v>54.63</v>
      </c>
      <c r="HN5">
        <v>64.111999999999995</v>
      </c>
      <c r="HO5">
        <v>23.507190294791801</v>
      </c>
      <c r="HP5">
        <v>20.58</v>
      </c>
      <c r="HQ5">
        <v>95.04</v>
      </c>
      <c r="HR5">
        <v>16.567</v>
      </c>
      <c r="HS5">
        <v>5.1414504006381501</v>
      </c>
      <c r="HT5">
        <v>8.82</v>
      </c>
      <c r="HU5">
        <v>26.12</v>
      </c>
      <c r="HV5">
        <v>9.6859999999999999</v>
      </c>
      <c r="HW5">
        <v>2.2228620190096202</v>
      </c>
      <c r="HX5">
        <v>6.86</v>
      </c>
      <c r="HY5">
        <v>13.35</v>
      </c>
      <c r="HZ5">
        <v>8.2409999999999997</v>
      </c>
      <c r="IA5">
        <v>2.46673175589798</v>
      </c>
      <c r="IB5">
        <v>5.75</v>
      </c>
      <c r="IC5">
        <v>12.58</v>
      </c>
      <c r="ID5">
        <v>0.10199999999999999</v>
      </c>
      <c r="IE5">
        <v>8.0249610590955506E-2</v>
      </c>
      <c r="IF5">
        <v>0.01</v>
      </c>
      <c r="IG5">
        <v>0.23</v>
      </c>
      <c r="IH5">
        <v>2.5910000000000002</v>
      </c>
      <c r="II5">
        <v>1.47329901920825</v>
      </c>
      <c r="IJ5">
        <v>0.16</v>
      </c>
      <c r="IK5">
        <v>4.96</v>
      </c>
      <c r="IL5">
        <v>2.181</v>
      </c>
      <c r="IM5">
        <v>2.2543856024301698</v>
      </c>
      <c r="IN5">
        <v>0.66</v>
      </c>
      <c r="IO5">
        <v>8.0299999999999994</v>
      </c>
      <c r="IP5">
        <v>41.847000000000001</v>
      </c>
      <c r="IQ5">
        <v>12.3689486214471</v>
      </c>
      <c r="IR5">
        <v>30.98</v>
      </c>
      <c r="IS5">
        <v>72.819999999999993</v>
      </c>
      <c r="IT5">
        <v>85.4</v>
      </c>
      <c r="IU5">
        <v>40.754549848247997</v>
      </c>
      <c r="IV5">
        <v>48</v>
      </c>
      <c r="IW5">
        <v>156</v>
      </c>
      <c r="IX5">
        <v>22.3</v>
      </c>
      <c r="IY5">
        <v>19.436792145024501</v>
      </c>
      <c r="IZ5">
        <v>1</v>
      </c>
      <c r="JA5">
        <v>58</v>
      </c>
      <c r="JB5">
        <v>89.1</v>
      </c>
      <c r="JC5">
        <v>27.0203626918663</v>
      </c>
      <c r="JD5">
        <v>56</v>
      </c>
      <c r="JE5">
        <v>140</v>
      </c>
      <c r="JF5">
        <v>6.9</v>
      </c>
      <c r="JG5">
        <v>4.1486276177925498</v>
      </c>
      <c r="JH5">
        <v>1</v>
      </c>
      <c r="JI5">
        <v>13</v>
      </c>
      <c r="JJ5">
        <v>299.39999999999998</v>
      </c>
      <c r="JK5">
        <v>81.116103347129595</v>
      </c>
      <c r="JL5">
        <v>187</v>
      </c>
      <c r="JM5">
        <v>421</v>
      </c>
      <c r="JN5">
        <v>212.2</v>
      </c>
      <c r="JO5">
        <v>72.401350509196604</v>
      </c>
      <c r="JP5">
        <v>114</v>
      </c>
      <c r="JQ5">
        <v>317</v>
      </c>
      <c r="JR5">
        <v>81.599999999999994</v>
      </c>
      <c r="JS5">
        <v>19.317234676722101</v>
      </c>
      <c r="JT5">
        <v>37</v>
      </c>
      <c r="JU5">
        <v>103</v>
      </c>
      <c r="JV5">
        <v>269.89999999999998</v>
      </c>
      <c r="JW5">
        <v>57.266336824816399</v>
      </c>
      <c r="JX5">
        <v>185</v>
      </c>
      <c r="JY5">
        <v>361</v>
      </c>
    </row>
    <row r="6" spans="1:285" x14ac:dyDescent="0.3">
      <c r="A6" s="1" t="s">
        <v>90</v>
      </c>
      <c r="B6">
        <v>36.6</v>
      </c>
      <c r="C6">
        <v>13.150411907363701</v>
      </c>
      <c r="D6">
        <v>19</v>
      </c>
      <c r="E6">
        <v>58</v>
      </c>
      <c r="F6">
        <v>19.2</v>
      </c>
      <c r="G6">
        <v>8.2435159704798</v>
      </c>
      <c r="H6">
        <v>6</v>
      </c>
      <c r="I6">
        <v>31</v>
      </c>
      <c r="J6">
        <v>18.2</v>
      </c>
      <c r="K6">
        <v>17.028081382103899</v>
      </c>
      <c r="L6">
        <v>1</v>
      </c>
      <c r="M6">
        <v>54</v>
      </c>
      <c r="N6">
        <v>40</v>
      </c>
      <c r="O6">
        <v>13.3583099396759</v>
      </c>
      <c r="P6">
        <v>21</v>
      </c>
      <c r="Q6">
        <v>64</v>
      </c>
      <c r="R6">
        <v>65.2</v>
      </c>
      <c r="S6">
        <v>30.745550716955499</v>
      </c>
      <c r="T6">
        <v>18</v>
      </c>
      <c r="U6">
        <v>114</v>
      </c>
      <c r="V6">
        <v>86.2</v>
      </c>
      <c r="W6">
        <v>22.885220849564298</v>
      </c>
      <c r="X6">
        <v>47</v>
      </c>
      <c r="Y6">
        <v>114</v>
      </c>
      <c r="Z6">
        <v>30.7</v>
      </c>
      <c r="AA6">
        <v>3.9454615277134102</v>
      </c>
      <c r="AB6">
        <v>26</v>
      </c>
      <c r="AC6">
        <v>37</v>
      </c>
      <c r="AD6">
        <v>72.2</v>
      </c>
      <c r="AE6">
        <v>25.398162663205898</v>
      </c>
      <c r="AF6">
        <v>28</v>
      </c>
      <c r="AG6">
        <v>111</v>
      </c>
      <c r="AH6">
        <v>194.2</v>
      </c>
      <c r="AI6">
        <v>16.784913861361701</v>
      </c>
      <c r="AJ6">
        <v>171</v>
      </c>
      <c r="AK6">
        <v>218</v>
      </c>
      <c r="AL6">
        <v>30.7</v>
      </c>
      <c r="AM6">
        <v>3.9454615277134102</v>
      </c>
      <c r="AN6">
        <v>26</v>
      </c>
      <c r="AO6">
        <v>37</v>
      </c>
      <c r="AP6">
        <v>50.7</v>
      </c>
      <c r="AQ6">
        <v>21.1820154323845</v>
      </c>
      <c r="AR6">
        <v>21</v>
      </c>
      <c r="AS6">
        <v>90</v>
      </c>
      <c r="AT6">
        <v>22.1</v>
      </c>
      <c r="AU6">
        <v>5.3218626647276599</v>
      </c>
      <c r="AV6">
        <v>12</v>
      </c>
      <c r="AW6">
        <v>30</v>
      </c>
      <c r="AX6">
        <v>0</v>
      </c>
      <c r="AY6">
        <v>0</v>
      </c>
      <c r="AZ6">
        <v>0</v>
      </c>
      <c r="BA6">
        <v>0</v>
      </c>
      <c r="BB6">
        <v>21.5</v>
      </c>
      <c r="BC6">
        <v>9.7325342137709505</v>
      </c>
      <c r="BD6">
        <v>7</v>
      </c>
      <c r="BE6">
        <v>38</v>
      </c>
      <c r="BF6">
        <v>172.1</v>
      </c>
      <c r="BG6">
        <v>14.843255108709201</v>
      </c>
      <c r="BH6">
        <v>156</v>
      </c>
      <c r="BI6">
        <v>196</v>
      </c>
      <c r="BJ6">
        <v>227</v>
      </c>
      <c r="BK6">
        <v>51.667741924295001</v>
      </c>
      <c r="BL6">
        <v>170</v>
      </c>
      <c r="BM6">
        <v>330</v>
      </c>
      <c r="BN6">
        <v>144.5</v>
      </c>
      <c r="BO6">
        <v>21.485136981436899</v>
      </c>
      <c r="BP6">
        <v>100</v>
      </c>
      <c r="BQ6">
        <v>179</v>
      </c>
      <c r="BR6">
        <v>505.8</v>
      </c>
      <c r="BS6">
        <v>116.356540187668</v>
      </c>
      <c r="BT6">
        <v>277</v>
      </c>
      <c r="BU6">
        <v>643</v>
      </c>
      <c r="BV6">
        <v>350.8</v>
      </c>
      <c r="BW6">
        <v>127.559833455171</v>
      </c>
      <c r="BX6">
        <v>172</v>
      </c>
      <c r="BY6">
        <v>579</v>
      </c>
      <c r="BZ6">
        <v>10.3</v>
      </c>
      <c r="CA6">
        <v>2.7908580918579302</v>
      </c>
      <c r="CB6">
        <v>6</v>
      </c>
      <c r="CC6">
        <v>14</v>
      </c>
      <c r="CD6">
        <v>71</v>
      </c>
      <c r="CE6">
        <v>15.0775771705315</v>
      </c>
      <c r="CF6">
        <v>45</v>
      </c>
      <c r="CG6">
        <v>93</v>
      </c>
      <c r="CH6">
        <v>54</v>
      </c>
      <c r="CI6">
        <v>13.556466271775101</v>
      </c>
      <c r="CJ6">
        <v>36</v>
      </c>
      <c r="CK6">
        <v>82</v>
      </c>
      <c r="CL6">
        <v>59.3</v>
      </c>
      <c r="CM6">
        <v>1.70293863659264</v>
      </c>
      <c r="CN6">
        <v>57</v>
      </c>
      <c r="CO6">
        <v>62</v>
      </c>
      <c r="CP6">
        <v>59.7</v>
      </c>
      <c r="CQ6">
        <v>1.2516655570345701</v>
      </c>
      <c r="CR6">
        <v>58</v>
      </c>
      <c r="CS6">
        <v>62</v>
      </c>
      <c r="CT6">
        <v>75.2</v>
      </c>
      <c r="CU6">
        <v>4.7795862210493096</v>
      </c>
      <c r="CV6">
        <v>68</v>
      </c>
      <c r="CW6">
        <v>82</v>
      </c>
      <c r="CX6">
        <v>61</v>
      </c>
      <c r="CY6">
        <v>4.5704364002673596</v>
      </c>
      <c r="CZ6">
        <v>55</v>
      </c>
      <c r="DA6">
        <v>70</v>
      </c>
      <c r="DB6">
        <v>58.1</v>
      </c>
      <c r="DC6">
        <v>3.0349812373573402</v>
      </c>
      <c r="DD6">
        <v>53</v>
      </c>
      <c r="DE6">
        <v>63</v>
      </c>
      <c r="DF6">
        <v>89.8</v>
      </c>
      <c r="DG6">
        <v>3.6453928305312799</v>
      </c>
      <c r="DH6">
        <v>84</v>
      </c>
      <c r="DI6">
        <v>95</v>
      </c>
      <c r="DJ6">
        <v>63.1</v>
      </c>
      <c r="DK6">
        <v>2.60128173535022</v>
      </c>
      <c r="DL6">
        <v>60</v>
      </c>
      <c r="DM6">
        <v>69</v>
      </c>
      <c r="DN6">
        <v>63.5</v>
      </c>
      <c r="DO6">
        <v>1.1785113019775699</v>
      </c>
      <c r="DP6">
        <v>62</v>
      </c>
      <c r="DQ6">
        <v>65</v>
      </c>
      <c r="DR6">
        <v>98</v>
      </c>
      <c r="DS6">
        <v>0.94280904158206302</v>
      </c>
      <c r="DT6">
        <v>96</v>
      </c>
      <c r="DU6">
        <v>99</v>
      </c>
      <c r="DV6">
        <v>49.052</v>
      </c>
      <c r="DW6">
        <v>4.1622024084478202</v>
      </c>
      <c r="DX6">
        <v>43.29</v>
      </c>
      <c r="DY6">
        <v>54.68</v>
      </c>
      <c r="DZ6">
        <v>29.664999999999999</v>
      </c>
      <c r="EA6">
        <v>3.0422624987188498</v>
      </c>
      <c r="EB6">
        <v>25.46</v>
      </c>
      <c r="EC6">
        <v>32.79</v>
      </c>
      <c r="ED6">
        <v>29.98</v>
      </c>
      <c r="EE6">
        <v>2.3796731801750499</v>
      </c>
      <c r="EF6">
        <v>24.28</v>
      </c>
      <c r="EG6">
        <v>32.590000000000003</v>
      </c>
      <c r="EH6">
        <v>3.859</v>
      </c>
      <c r="EI6">
        <v>0.70598158616213202</v>
      </c>
      <c r="EJ6">
        <v>2.77</v>
      </c>
      <c r="EK6">
        <v>4.92</v>
      </c>
      <c r="EL6">
        <v>53.153999999999897</v>
      </c>
      <c r="EM6">
        <v>4.3207566209840698</v>
      </c>
      <c r="EN6">
        <v>45.99</v>
      </c>
      <c r="EO6">
        <v>58.08</v>
      </c>
      <c r="EP6">
        <v>87.628</v>
      </c>
      <c r="EQ6">
        <v>13.6752629875179</v>
      </c>
      <c r="ER6">
        <v>55.23</v>
      </c>
      <c r="ES6">
        <v>101.5</v>
      </c>
      <c r="ET6">
        <v>32.237000000000002</v>
      </c>
      <c r="EU6">
        <v>2.8051106137825501</v>
      </c>
      <c r="EV6">
        <v>25.62</v>
      </c>
      <c r="EW6">
        <v>36.72</v>
      </c>
      <c r="EX6">
        <v>5.6749999999999998</v>
      </c>
      <c r="EY6">
        <v>0.90903184151540495</v>
      </c>
      <c r="EZ6">
        <v>3.71</v>
      </c>
      <c r="FA6">
        <v>6.92</v>
      </c>
      <c r="FB6">
        <v>3.9319999999999999</v>
      </c>
      <c r="FC6">
        <v>0.58864816882979099</v>
      </c>
      <c r="FD6">
        <v>2.63</v>
      </c>
      <c r="FE6">
        <v>4.57</v>
      </c>
      <c r="FF6">
        <v>1.4999999999999999E-2</v>
      </c>
      <c r="FG6">
        <v>5.2704627669472896E-3</v>
      </c>
      <c r="FH6">
        <v>0.01</v>
      </c>
      <c r="FI6">
        <v>0.02</v>
      </c>
      <c r="FJ6">
        <v>9.9390000000000001</v>
      </c>
      <c r="FK6">
        <v>1.4614106579299</v>
      </c>
      <c r="FL6">
        <v>7.39</v>
      </c>
      <c r="FM6">
        <v>12.09</v>
      </c>
      <c r="FN6">
        <v>0.86499999999999999</v>
      </c>
      <c r="FO6">
        <v>0.32928373445674097</v>
      </c>
      <c r="FP6">
        <v>0.61</v>
      </c>
      <c r="FQ6">
        <v>1.57</v>
      </c>
      <c r="FR6">
        <v>24.206</v>
      </c>
      <c r="FS6">
        <v>2.3074045062700899</v>
      </c>
      <c r="FT6">
        <v>19.93</v>
      </c>
      <c r="FU6">
        <v>27.36</v>
      </c>
      <c r="FV6">
        <v>47.320999999999998</v>
      </c>
      <c r="FW6">
        <v>2.7989341225227502</v>
      </c>
      <c r="FX6">
        <v>42.23</v>
      </c>
      <c r="FY6">
        <v>52.54</v>
      </c>
      <c r="FZ6">
        <v>150.36699999999999</v>
      </c>
      <c r="GA6">
        <v>22.4469201302391</v>
      </c>
      <c r="GB6">
        <v>107.48</v>
      </c>
      <c r="GC6">
        <v>187.81</v>
      </c>
      <c r="GD6">
        <v>52.053999999999903</v>
      </c>
      <c r="GE6">
        <v>8.1707461919541498</v>
      </c>
      <c r="GF6">
        <v>40.369999999999997</v>
      </c>
      <c r="GG6">
        <v>67.89</v>
      </c>
      <c r="GH6">
        <v>12.26</v>
      </c>
      <c r="GI6">
        <v>1.22074658394861</v>
      </c>
      <c r="GJ6">
        <v>10.25</v>
      </c>
      <c r="GK6">
        <v>14.26</v>
      </c>
      <c r="GL6">
        <v>14.311</v>
      </c>
      <c r="GM6">
        <v>1.48189405829161</v>
      </c>
      <c r="GN6">
        <v>12.03</v>
      </c>
      <c r="GO6">
        <v>16.829999999999998</v>
      </c>
      <c r="GP6">
        <v>1.7000000000000001E-2</v>
      </c>
      <c r="GQ6">
        <v>4.8304589153964801E-3</v>
      </c>
      <c r="GR6">
        <v>0.01</v>
      </c>
      <c r="GS6">
        <v>0.02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43.73</v>
      </c>
      <c r="HC6">
        <v>9.6755338641108306</v>
      </c>
      <c r="HD6">
        <v>31.79</v>
      </c>
      <c r="HE6">
        <v>60.3</v>
      </c>
      <c r="HF6">
        <v>6.0369999999999999</v>
      </c>
      <c r="HG6">
        <v>1.1515405140747501</v>
      </c>
      <c r="HH6">
        <v>4.13</v>
      </c>
      <c r="HI6">
        <v>7.9</v>
      </c>
      <c r="HJ6">
        <v>47.503999999999998</v>
      </c>
      <c r="HK6">
        <v>4.1272433630424299</v>
      </c>
      <c r="HL6">
        <v>41.34</v>
      </c>
      <c r="HM6">
        <v>52.83</v>
      </c>
      <c r="HN6">
        <v>64.807000000000002</v>
      </c>
      <c r="HO6">
        <v>21.678106236477301</v>
      </c>
      <c r="HP6">
        <v>42.63</v>
      </c>
      <c r="HQ6">
        <v>106.08</v>
      </c>
      <c r="HR6">
        <v>16.917000000000002</v>
      </c>
      <c r="HS6">
        <v>2.96505592977041</v>
      </c>
      <c r="HT6">
        <v>14.25</v>
      </c>
      <c r="HU6">
        <v>24.55</v>
      </c>
      <c r="HV6">
        <v>8.3780000000000001</v>
      </c>
      <c r="HW6">
        <v>1.42814409481521</v>
      </c>
      <c r="HX6">
        <v>5.75</v>
      </c>
      <c r="HY6">
        <v>10.98</v>
      </c>
      <c r="HZ6">
        <v>7.4180000000000001</v>
      </c>
      <c r="IA6">
        <v>1.2803194045931501</v>
      </c>
      <c r="IB6">
        <v>5.43</v>
      </c>
      <c r="IC6">
        <v>9.33</v>
      </c>
      <c r="ID6">
        <v>2.9000000000000001E-2</v>
      </c>
      <c r="IE6">
        <v>1.6633299933166101E-2</v>
      </c>
      <c r="IF6">
        <v>0.01</v>
      </c>
      <c r="IG6">
        <v>7.0000000000000007E-2</v>
      </c>
      <c r="IH6">
        <v>11.999000000000001</v>
      </c>
      <c r="II6">
        <v>9.5327592484489401</v>
      </c>
      <c r="IJ6">
        <v>3.32</v>
      </c>
      <c r="IK6">
        <v>33.31</v>
      </c>
      <c r="IL6">
        <v>3.0919999999999899</v>
      </c>
      <c r="IM6">
        <v>1.8096150603558301</v>
      </c>
      <c r="IN6">
        <v>1.3</v>
      </c>
      <c r="IO6">
        <v>5.93</v>
      </c>
      <c r="IP6">
        <v>36.200000000000003</v>
      </c>
      <c r="IQ6">
        <v>8.6750792503584595</v>
      </c>
      <c r="IR6">
        <v>27.41</v>
      </c>
      <c r="IS6">
        <v>53.03</v>
      </c>
      <c r="IT6">
        <v>69.400000000000006</v>
      </c>
      <c r="IU6">
        <v>22.101784744424702</v>
      </c>
      <c r="IV6">
        <v>31</v>
      </c>
      <c r="IW6">
        <v>106</v>
      </c>
      <c r="IX6">
        <v>27.2</v>
      </c>
      <c r="IY6">
        <v>15.0761032395274</v>
      </c>
      <c r="IZ6">
        <v>7</v>
      </c>
      <c r="JA6">
        <v>54</v>
      </c>
      <c r="JB6">
        <v>67.400000000000006</v>
      </c>
      <c r="JC6">
        <v>11.2960169971543</v>
      </c>
      <c r="JD6">
        <v>49</v>
      </c>
      <c r="JE6">
        <v>86</v>
      </c>
      <c r="JF6">
        <v>15.8</v>
      </c>
      <c r="JG6">
        <v>6.9888800565215297</v>
      </c>
      <c r="JH6">
        <v>5</v>
      </c>
      <c r="JI6">
        <v>25</v>
      </c>
      <c r="JJ6">
        <v>558.1</v>
      </c>
      <c r="JK6">
        <v>136.028959335054</v>
      </c>
      <c r="JL6">
        <v>387</v>
      </c>
      <c r="JM6">
        <v>764</v>
      </c>
      <c r="JN6">
        <v>400.4</v>
      </c>
      <c r="JO6">
        <v>124.294632046422</v>
      </c>
      <c r="JP6">
        <v>254</v>
      </c>
      <c r="JQ6">
        <v>582</v>
      </c>
      <c r="JR6">
        <v>141.1</v>
      </c>
      <c r="JS6">
        <v>21.0842226426407</v>
      </c>
      <c r="JT6">
        <v>100</v>
      </c>
      <c r="JU6">
        <v>170</v>
      </c>
      <c r="JV6">
        <v>307.3</v>
      </c>
      <c r="JW6">
        <v>70.312082097523501</v>
      </c>
      <c r="JX6">
        <v>192</v>
      </c>
      <c r="JY6">
        <v>427</v>
      </c>
    </row>
    <row r="7" spans="1:285" x14ac:dyDescent="0.3">
      <c r="A7" s="2"/>
      <c r="B7">
        <f>C4</f>
        <v>0</v>
      </c>
      <c r="F7">
        <v>30.2362916597477</v>
      </c>
      <c r="J7">
        <f>K4</f>
        <v>38.646546489376703</v>
      </c>
      <c r="N7">
        <f>O4</f>
        <v>0</v>
      </c>
      <c r="R7">
        <f>S4</f>
        <v>38.822816887896103</v>
      </c>
      <c r="V7">
        <f>W4</f>
        <v>29.364566705091601</v>
      </c>
      <c r="Z7">
        <f>AA4</f>
        <v>0</v>
      </c>
      <c r="AD7">
        <f>AE4</f>
        <v>20.520991962161801</v>
      </c>
      <c r="AH7">
        <f>AI4</f>
        <v>20.0066655559257</v>
      </c>
      <c r="AL7">
        <f>AM4</f>
        <v>0</v>
      </c>
      <c r="AP7">
        <f>AQ4</f>
        <v>20.520991962161801</v>
      </c>
      <c r="AT7">
        <f>AU4</f>
        <v>15.407069084604499</v>
      </c>
      <c r="AX7">
        <f>AY4</f>
        <v>0</v>
      </c>
      <c r="BB7">
        <f>BC4</f>
        <v>0</v>
      </c>
      <c r="BF7">
        <f>BG4</f>
        <v>30.198601880808202</v>
      </c>
      <c r="BJ7">
        <f>BK4</f>
        <v>0</v>
      </c>
      <c r="BN7">
        <f>BO4</f>
        <v>0</v>
      </c>
      <c r="BR7">
        <f>BS4</f>
        <v>120.440118823514</v>
      </c>
      <c r="BV7">
        <f>BW4</f>
        <v>167.60270483099799</v>
      </c>
      <c r="BZ7">
        <f>CA4</f>
        <v>2.41292814278051</v>
      </c>
      <c r="CD7">
        <f>CE4</f>
        <v>32.9054200196056</v>
      </c>
      <c r="CH7">
        <f>CI4</f>
        <v>30.431891166997801</v>
      </c>
      <c r="CL7">
        <f>CM4</f>
        <v>0</v>
      </c>
      <c r="CP7">
        <f>CQ4</f>
        <v>0</v>
      </c>
      <c r="CT7">
        <f>CU4</f>
        <v>0</v>
      </c>
      <c r="CX7">
        <f>CY4</f>
        <v>3.6590830666833498</v>
      </c>
      <c r="DB7">
        <f>DC4</f>
        <v>2.22361067735438</v>
      </c>
      <c r="DF7">
        <f>DG4</f>
        <v>1.26929551764398</v>
      </c>
      <c r="DJ7">
        <f>DK4</f>
        <v>1.2292725943057099</v>
      </c>
      <c r="DN7">
        <f>DO4</f>
        <v>1.52388392675499</v>
      </c>
      <c r="DR7">
        <f>DS4</f>
        <v>0.483045891539647</v>
      </c>
      <c r="DV7">
        <f>DW4</f>
        <v>0</v>
      </c>
      <c r="DZ7">
        <f>EA4</f>
        <v>2.3906133569070098</v>
      </c>
      <c r="ED7">
        <f>EE4</f>
        <v>2.1477080807223299</v>
      </c>
      <c r="EH7">
        <f>EI4</f>
        <v>1.70978881087044</v>
      </c>
      <c r="EL7">
        <f>EM4</f>
        <v>2.00958951032294</v>
      </c>
      <c r="EP7">
        <f>EQ4</f>
        <v>13.0980863742253</v>
      </c>
      <c r="ET7">
        <f>EU4</f>
        <v>3.49852286289831</v>
      </c>
      <c r="EX7">
        <f>EY4</f>
        <v>0.75221155416692598</v>
      </c>
      <c r="FB7">
        <f>FC4</f>
        <v>0.52319637273632102</v>
      </c>
      <c r="FF7">
        <f>FG4</f>
        <v>9.6609178307929602E-3</v>
      </c>
      <c r="FJ7">
        <f>FK4</f>
        <v>1.61953354052606</v>
      </c>
      <c r="FN7">
        <f>FO4</f>
        <v>0.41937652135839298</v>
      </c>
      <c r="FR7">
        <f>FS4</f>
        <v>0</v>
      </c>
      <c r="FV7">
        <f>FW4</f>
        <v>0</v>
      </c>
      <c r="FZ7">
        <f>GA4</f>
        <v>0</v>
      </c>
      <c r="GD7">
        <f>GE4</f>
        <v>0</v>
      </c>
      <c r="GH7">
        <f>GI4</f>
        <v>0</v>
      </c>
      <c r="GL7">
        <f>GM4</f>
        <v>0</v>
      </c>
      <c r="GP7">
        <f>GQ4</f>
        <v>0</v>
      </c>
      <c r="GT7">
        <f>GU4</f>
        <v>0</v>
      </c>
      <c r="GX7">
        <f>GY4</f>
        <v>0</v>
      </c>
      <c r="HB7">
        <f>HC4</f>
        <v>0</v>
      </c>
      <c r="HF7">
        <f>HG4</f>
        <v>1.59551454605298</v>
      </c>
      <c r="HJ7">
        <f>HK4</f>
        <v>1.69774523674457</v>
      </c>
      <c r="HN7">
        <f>HO4</f>
        <v>21.636787628686601</v>
      </c>
      <c r="HR7">
        <f>HS4</f>
        <v>3.1325630258801</v>
      </c>
      <c r="HV7">
        <f>HW4</f>
        <v>1.42171453612257</v>
      </c>
      <c r="HZ7">
        <f>IA4</f>
        <v>0.73481970577822597</v>
      </c>
      <c r="ID7">
        <f>IE4</f>
        <v>3.5652645218989101E-2</v>
      </c>
      <c r="IH7">
        <f>II4</f>
        <v>0</v>
      </c>
      <c r="IL7">
        <f>IM4</f>
        <v>0</v>
      </c>
      <c r="IP7">
        <f>IQ4</f>
        <v>7.9744843790122903</v>
      </c>
      <c r="IT7">
        <f>IU4</f>
        <v>34.493316582910502</v>
      </c>
      <c r="IX7">
        <f>IY4</f>
        <v>19.1488322823554</v>
      </c>
      <c r="JB7">
        <f>JC4</f>
        <v>30.198601880808202</v>
      </c>
      <c r="JF7">
        <f>JG4</f>
        <v>0</v>
      </c>
      <c r="JJ7">
        <f>JK4</f>
        <v>0</v>
      </c>
      <c r="JN7">
        <f>JO4</f>
        <v>0</v>
      </c>
      <c r="JR7">
        <f>JS4</f>
        <v>0</v>
      </c>
      <c r="JV7">
        <f>JW4</f>
        <v>45.8058705601997</v>
      </c>
    </row>
    <row r="8" spans="1:285" x14ac:dyDescent="0.3">
      <c r="B8" s="3">
        <f t="shared" ref="B8:B9" si="0">C5</f>
        <v>6.7197883564555401</v>
      </c>
      <c r="F8" s="3">
        <v>26.700187265260801</v>
      </c>
      <c r="J8" s="3">
        <f t="shared" ref="J8:J9" si="1">K5</f>
        <v>26.013885181229998</v>
      </c>
      <c r="N8" s="3">
        <f t="shared" ref="N8:N9" si="2">O5</f>
        <v>6.4644326037858004</v>
      </c>
      <c r="R8" s="3">
        <f t="shared" ref="R8:R9" si="3">S5</f>
        <v>56.866803438678801</v>
      </c>
      <c r="V8" s="3">
        <f t="shared" ref="V8:V9" si="4">W5</f>
        <v>26.488781692549601</v>
      </c>
      <c r="Z8" s="3">
        <f t="shared" ref="Z8:Z9" si="5">AA5</f>
        <v>3.1198290551460199</v>
      </c>
      <c r="AD8" s="3">
        <f t="shared" ref="AD8:AD9" si="6">AE5</f>
        <v>35.946874381199997</v>
      </c>
      <c r="AH8" s="3">
        <f t="shared" ref="AH8:AH9" si="7">AI5</f>
        <v>16.602877929911799</v>
      </c>
      <c r="AL8" s="3">
        <f t="shared" ref="AL8:AL9" si="8">AM5</f>
        <v>3.1198290551460199</v>
      </c>
      <c r="AP8" s="3">
        <f t="shared" ref="AP8:AP9" si="9">AQ5</f>
        <v>34.055673373006201</v>
      </c>
      <c r="AT8" s="3">
        <f t="shared" ref="AT8:AT9" si="10">AU5</f>
        <v>17.5511949577356</v>
      </c>
      <c r="AX8" s="3">
        <f t="shared" ref="AX8:AX9" si="11">AY5</f>
        <v>0</v>
      </c>
      <c r="BB8" s="3">
        <f t="shared" ref="BB8:BB9" si="12">BC5</f>
        <v>5.0431471655438802</v>
      </c>
      <c r="BF8" s="3">
        <f t="shared" ref="BF8:BF9" si="13">BG5</f>
        <v>20.000277775848701</v>
      </c>
      <c r="BJ8" s="3">
        <f t="shared" ref="BJ8:BJ9" si="14">BK5</f>
        <v>21.036740347412199</v>
      </c>
      <c r="BN8" s="3">
        <f t="shared" ref="BN8:BN9" si="15">BO5</f>
        <v>21.2866677106169</v>
      </c>
      <c r="BR8" s="3">
        <f t="shared" ref="BR8:BR9" si="16">BS5</f>
        <v>131.20217647246201</v>
      </c>
      <c r="BV8" s="3">
        <f t="shared" ref="BV8:BV9" si="17">BW5</f>
        <v>207.14914111978999</v>
      </c>
      <c r="BZ8" s="3">
        <f t="shared" ref="BZ8:BZ9" si="18">CA5</f>
        <v>3.3813212407775302</v>
      </c>
      <c r="CD8" s="3">
        <f t="shared" ref="CD8:CD9" si="19">CE5</f>
        <v>25.342980619229898</v>
      </c>
      <c r="CH8" s="3">
        <f t="shared" ref="CH8:CH9" si="20">CI5</f>
        <v>22.846346656644101</v>
      </c>
      <c r="CL8" s="3">
        <f t="shared" ref="CL8:CL9" si="21">CM5</f>
        <v>2.0976176963403002</v>
      </c>
      <c r="CP8" s="3">
        <f t="shared" ref="CP8:CP9" si="22">CQ5</f>
        <v>1.96920739836559</v>
      </c>
      <c r="CT8" s="3">
        <f t="shared" ref="CT8:CT9" si="23">CU5</f>
        <v>6.4807406984078604</v>
      </c>
      <c r="CX8" s="3">
        <f t="shared" ref="CX8:CX9" si="24">CY5</f>
        <v>4.45845015423272</v>
      </c>
      <c r="DB8" s="3">
        <f t="shared" ref="DB8:DB9" si="25">DC5</f>
        <v>2.26323269290239</v>
      </c>
      <c r="DF8" s="3">
        <f t="shared" ref="DF8:DF9" si="26">DG5</f>
        <v>1.49443411809732</v>
      </c>
      <c r="DJ8" s="3">
        <f t="shared" ref="DJ8:DJ9" si="27">DK5</f>
        <v>1.3984117975602</v>
      </c>
      <c r="DN8" s="3">
        <f t="shared" ref="DN8:DN9" si="28">DO5</f>
        <v>1.5670212364724201</v>
      </c>
      <c r="DR8" s="3">
        <f t="shared" ref="DR8:DR9" si="29">DS5</f>
        <v>0.316227766016838</v>
      </c>
      <c r="DV8" s="3">
        <f t="shared" ref="DV8:DV9" si="30">DW5</f>
        <v>9.8321920241622607</v>
      </c>
      <c r="DZ8" s="3">
        <f t="shared" ref="DZ8:DZ9" si="31">EA5</f>
        <v>6.9757911538564699</v>
      </c>
      <c r="ED8" s="3">
        <f t="shared" ref="ED8:ED9" si="32">EE5</f>
        <v>2.0573769708052998</v>
      </c>
      <c r="EH8" s="3">
        <f t="shared" ref="EH8:EH9" si="33">EI5</f>
        <v>1.3458516510621299</v>
      </c>
      <c r="EL8" s="3">
        <f t="shared" ref="EL8:EL9" si="34">EM5</f>
        <v>2.2781242283949301</v>
      </c>
      <c r="EP8" s="3">
        <f t="shared" ref="EP8:EP9" si="35">EQ5</f>
        <v>15.391963307013301</v>
      </c>
      <c r="ET8" s="3">
        <f t="shared" ref="ET8:ET9" si="36">EU5</f>
        <v>5.1839470161901398</v>
      </c>
      <c r="EX8" s="3">
        <f t="shared" ref="EX8:EX9" si="37">EY5</f>
        <v>0.55542176166705304</v>
      </c>
      <c r="FB8" s="3">
        <f t="shared" ref="FB8:FB9" si="38">FC5</f>
        <v>0.495814705532442</v>
      </c>
      <c r="FF8" s="3">
        <f t="shared" ref="FF8:FF9" si="39">FG5</f>
        <v>3.1622776601683699E-3</v>
      </c>
      <c r="FJ8" s="3">
        <f t="shared" ref="FJ8:FJ9" si="40">FK5</f>
        <v>1.6106023717851601</v>
      </c>
      <c r="FN8" s="3">
        <f t="shared" ref="FN8:FN9" si="41">FO5</f>
        <v>0.39218051399267001</v>
      </c>
      <c r="FR8" s="3">
        <f t="shared" ref="FR8:FR9" si="42">FS5</f>
        <v>3.8496881547586201</v>
      </c>
      <c r="FV8" s="3">
        <f t="shared" ref="FV8:FV9" si="43">FW5</f>
        <v>6.0676449760640701</v>
      </c>
      <c r="FZ8" s="3">
        <f t="shared" ref="FZ8:FZ9" si="44">GA5</f>
        <v>25.354566540259398</v>
      </c>
      <c r="GD8" s="3">
        <f t="shared" ref="GD8:GD9" si="45">GE5</f>
        <v>17.673337891361101</v>
      </c>
      <c r="GH8" s="3">
        <f t="shared" ref="GH8:GH9" si="46">GI5</f>
        <v>2.42515429062427</v>
      </c>
      <c r="GL8" s="3">
        <f t="shared" ref="GL8:GL9" si="47">GM5</f>
        <v>3.2171181030370701</v>
      </c>
      <c r="GP8" s="3">
        <f t="shared" ref="GP8:GP9" si="48">GQ5</f>
        <v>6.99205898780101E-3</v>
      </c>
      <c r="GT8" s="3">
        <f t="shared" ref="GT8:GT9" si="49">GU5</f>
        <v>0</v>
      </c>
      <c r="GX8" s="3">
        <f t="shared" ref="GX8:GX9" si="50">GY5</f>
        <v>0</v>
      </c>
      <c r="HB8" s="3">
        <f t="shared" ref="HB8:HB9" si="51">HC5</f>
        <v>17.802274636186802</v>
      </c>
      <c r="HF8" s="3">
        <f t="shared" ref="HF8:HF9" si="52">HG5</f>
        <v>1.2517228127664599</v>
      </c>
      <c r="HJ8" s="3">
        <f t="shared" ref="HJ8:HJ9" si="53">HK5</f>
        <v>2.9870477807434601</v>
      </c>
      <c r="HN8" s="3">
        <f t="shared" ref="HN8:HN9" si="54">HO5</f>
        <v>23.507190294791801</v>
      </c>
      <c r="HR8" s="3">
        <f t="shared" ref="HR8:HR9" si="55">HS5</f>
        <v>5.1414504006381501</v>
      </c>
      <c r="HV8" s="3">
        <f t="shared" ref="HV8:HV9" si="56">HW5</f>
        <v>2.2228620190096202</v>
      </c>
      <c r="HZ8" s="3">
        <f t="shared" ref="HZ8:HZ9" si="57">IA5</f>
        <v>2.46673175589798</v>
      </c>
      <c r="ID8" s="3">
        <f t="shared" ref="ID8:ID9" si="58">IE5</f>
        <v>8.0249610590955506E-2</v>
      </c>
      <c r="IH8" s="3">
        <f t="shared" ref="IH8:IH9" si="59">II5</f>
        <v>1.47329901920825</v>
      </c>
      <c r="IL8" s="3">
        <f t="shared" ref="IL8:IL9" si="60">IM5</f>
        <v>2.2543856024301698</v>
      </c>
      <c r="IP8" s="3">
        <f t="shared" ref="IP8:IP9" si="61">IQ5</f>
        <v>12.3689486214471</v>
      </c>
      <c r="IT8" s="3">
        <f t="shared" ref="IT8:IT9" si="62">IU5</f>
        <v>40.754549848247997</v>
      </c>
      <c r="IX8" s="3">
        <f t="shared" ref="IX8:IX9" si="63">IY5</f>
        <v>19.436792145024501</v>
      </c>
      <c r="JB8" s="3">
        <f t="shared" ref="JB8:JB9" si="64">JC5</f>
        <v>27.0203626918663</v>
      </c>
      <c r="JF8" s="3">
        <f t="shared" ref="JF8:JF9" si="65">JG5</f>
        <v>4.1486276177925498</v>
      </c>
      <c r="JJ8" s="3">
        <f t="shared" ref="JJ8:JJ9" si="66">JK5</f>
        <v>81.116103347129595</v>
      </c>
      <c r="JN8" s="3">
        <f t="shared" ref="JN8:JN9" si="67">JO5</f>
        <v>72.401350509196604</v>
      </c>
      <c r="JR8" s="3">
        <f t="shared" ref="JR8:JR9" si="68">JS5</f>
        <v>19.317234676722101</v>
      </c>
      <c r="JV8" s="3">
        <f t="shared" ref="JV8:JV9" si="69">JW5</f>
        <v>57.266336824816399</v>
      </c>
    </row>
    <row r="9" spans="1:285" x14ac:dyDescent="0.3">
      <c r="B9" s="3">
        <f t="shared" si="0"/>
        <v>13.150411907363701</v>
      </c>
      <c r="F9" s="3">
        <v>8.2435159704798</v>
      </c>
      <c r="J9" s="3">
        <f t="shared" si="1"/>
        <v>17.028081382103899</v>
      </c>
      <c r="N9" s="3">
        <f t="shared" si="2"/>
        <v>13.3583099396759</v>
      </c>
      <c r="R9" s="3">
        <f t="shared" si="3"/>
        <v>30.745550716955499</v>
      </c>
      <c r="V9" s="3">
        <f t="shared" si="4"/>
        <v>22.885220849564298</v>
      </c>
      <c r="Z9" s="3">
        <f t="shared" si="5"/>
        <v>3.9454615277134102</v>
      </c>
      <c r="AD9" s="3">
        <f t="shared" si="6"/>
        <v>25.398162663205898</v>
      </c>
      <c r="AH9" s="3">
        <f t="shared" si="7"/>
        <v>16.784913861361701</v>
      </c>
      <c r="AL9" s="3">
        <f t="shared" si="8"/>
        <v>3.9454615277134102</v>
      </c>
      <c r="AP9" s="3">
        <f t="shared" si="9"/>
        <v>21.1820154323845</v>
      </c>
      <c r="AT9" s="3">
        <f t="shared" si="10"/>
        <v>5.3218626647276599</v>
      </c>
      <c r="AX9" s="3">
        <f t="shared" si="11"/>
        <v>0</v>
      </c>
      <c r="BB9" s="3">
        <f t="shared" si="12"/>
        <v>9.7325342137709505</v>
      </c>
      <c r="BF9" s="3">
        <f t="shared" si="13"/>
        <v>14.843255108709201</v>
      </c>
      <c r="BJ9" s="3">
        <f t="shared" si="14"/>
        <v>51.667741924295001</v>
      </c>
      <c r="BN9" s="3">
        <f t="shared" si="15"/>
        <v>21.485136981436899</v>
      </c>
      <c r="BR9" s="3">
        <f t="shared" si="16"/>
        <v>116.356540187668</v>
      </c>
      <c r="BV9" s="3">
        <f t="shared" si="17"/>
        <v>127.559833455171</v>
      </c>
      <c r="BZ9" s="3">
        <f t="shared" si="18"/>
        <v>2.7908580918579302</v>
      </c>
      <c r="CD9" s="3">
        <f t="shared" si="19"/>
        <v>15.0775771705315</v>
      </c>
      <c r="CH9" s="3">
        <f t="shared" si="20"/>
        <v>13.556466271775101</v>
      </c>
      <c r="CL9" s="3">
        <f t="shared" si="21"/>
        <v>1.70293863659264</v>
      </c>
      <c r="CP9" s="3">
        <f t="shared" si="22"/>
        <v>1.2516655570345701</v>
      </c>
      <c r="CT9" s="3">
        <f t="shared" si="23"/>
        <v>4.7795862210493096</v>
      </c>
      <c r="CX9" s="3">
        <f t="shared" si="24"/>
        <v>4.5704364002673596</v>
      </c>
      <c r="DB9" s="3">
        <f t="shared" si="25"/>
        <v>3.0349812373573402</v>
      </c>
      <c r="DF9" s="3">
        <f t="shared" si="26"/>
        <v>3.6453928305312799</v>
      </c>
      <c r="DJ9" s="3">
        <f t="shared" si="27"/>
        <v>2.60128173535022</v>
      </c>
      <c r="DN9" s="3">
        <f t="shared" si="28"/>
        <v>1.1785113019775699</v>
      </c>
      <c r="DR9" s="3">
        <f t="shared" si="29"/>
        <v>0.94280904158206302</v>
      </c>
      <c r="DV9" s="3">
        <f t="shared" si="30"/>
        <v>4.1622024084478202</v>
      </c>
      <c r="DZ9" s="3">
        <f t="shared" si="31"/>
        <v>3.0422624987188498</v>
      </c>
      <c r="ED9" s="3">
        <f t="shared" si="32"/>
        <v>2.3796731801750499</v>
      </c>
      <c r="EH9" s="3">
        <f t="shared" si="33"/>
        <v>0.70598158616213202</v>
      </c>
      <c r="EL9" s="3">
        <f t="shared" si="34"/>
        <v>4.3207566209840698</v>
      </c>
      <c r="EP9" s="3">
        <f t="shared" si="35"/>
        <v>13.6752629875179</v>
      </c>
      <c r="ET9" s="3">
        <f t="shared" si="36"/>
        <v>2.8051106137825501</v>
      </c>
      <c r="EX9" s="3">
        <f t="shared" si="37"/>
        <v>0.90903184151540495</v>
      </c>
      <c r="FB9" s="3">
        <f t="shared" si="38"/>
        <v>0.58864816882979099</v>
      </c>
      <c r="FF9" s="3">
        <f t="shared" si="39"/>
        <v>5.2704627669472896E-3</v>
      </c>
      <c r="FJ9" s="3">
        <f t="shared" si="40"/>
        <v>1.4614106579299</v>
      </c>
      <c r="FN9" s="3">
        <f t="shared" si="41"/>
        <v>0.32928373445674097</v>
      </c>
      <c r="FR9" s="3">
        <f t="shared" si="42"/>
        <v>2.3074045062700899</v>
      </c>
      <c r="FV9" s="3">
        <f t="shared" si="43"/>
        <v>2.7989341225227502</v>
      </c>
      <c r="FZ9" s="3">
        <f t="shared" si="44"/>
        <v>22.4469201302391</v>
      </c>
      <c r="GD9" s="3">
        <f t="shared" si="45"/>
        <v>8.1707461919541498</v>
      </c>
      <c r="GH9" s="3">
        <f t="shared" si="46"/>
        <v>1.22074658394861</v>
      </c>
      <c r="GL9" s="3">
        <f t="shared" si="47"/>
        <v>1.48189405829161</v>
      </c>
      <c r="GP9" s="3">
        <f t="shared" si="48"/>
        <v>4.8304589153964801E-3</v>
      </c>
      <c r="GT9" s="3">
        <f t="shared" si="49"/>
        <v>0</v>
      </c>
      <c r="GX9" s="3">
        <f t="shared" si="50"/>
        <v>0</v>
      </c>
      <c r="HB9" s="3">
        <f t="shared" si="51"/>
        <v>9.6755338641108306</v>
      </c>
      <c r="HF9" s="3">
        <f t="shared" si="52"/>
        <v>1.1515405140747501</v>
      </c>
      <c r="HJ9" s="3">
        <f t="shared" si="53"/>
        <v>4.1272433630424299</v>
      </c>
      <c r="HN9" s="3">
        <f t="shared" si="54"/>
        <v>21.678106236477301</v>
      </c>
      <c r="HR9" s="3">
        <f t="shared" si="55"/>
        <v>2.96505592977041</v>
      </c>
      <c r="HV9" s="3">
        <f t="shared" si="56"/>
        <v>1.42814409481521</v>
      </c>
      <c r="HZ9" s="3">
        <f t="shared" si="57"/>
        <v>1.2803194045931501</v>
      </c>
      <c r="ID9" s="3">
        <f t="shared" si="58"/>
        <v>1.6633299933166101E-2</v>
      </c>
      <c r="IH9" s="3">
        <f t="shared" si="59"/>
        <v>9.5327592484489401</v>
      </c>
      <c r="IL9" s="3">
        <f t="shared" si="60"/>
        <v>1.8096150603558301</v>
      </c>
      <c r="IP9" s="3">
        <f t="shared" si="61"/>
        <v>8.6750792503584595</v>
      </c>
      <c r="IT9" s="3">
        <f t="shared" si="62"/>
        <v>22.101784744424702</v>
      </c>
      <c r="IX9" s="3">
        <f t="shared" si="63"/>
        <v>15.0761032395274</v>
      </c>
      <c r="JB9" s="3">
        <f t="shared" si="64"/>
        <v>11.2960169971543</v>
      </c>
      <c r="JF9" s="3">
        <f t="shared" si="65"/>
        <v>6.9888800565215297</v>
      </c>
      <c r="JJ9" s="3">
        <f t="shared" si="66"/>
        <v>136.028959335054</v>
      </c>
      <c r="JN9" s="3">
        <f t="shared" si="67"/>
        <v>124.294632046422</v>
      </c>
      <c r="JR9" s="3">
        <f t="shared" si="68"/>
        <v>21.0842226426407</v>
      </c>
      <c r="JV9" s="3">
        <f t="shared" si="69"/>
        <v>70.312082097523501</v>
      </c>
    </row>
    <row r="36" spans="4:4" x14ac:dyDescent="0.3">
      <c r="D36" t="e">
        <f>HLOOKUP(B36,Blad2!$1:$1048576,5,FALSE)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 Johansson</cp:lastModifiedBy>
  <cp:revision/>
  <dcterms:created xsi:type="dcterms:W3CDTF">2026-05-10T19:45:21Z</dcterms:created>
  <dcterms:modified xsi:type="dcterms:W3CDTF">2026-05-18T13:11:05Z</dcterms:modified>
  <cp:category/>
  <cp:contentStatus/>
</cp:coreProperties>
</file>